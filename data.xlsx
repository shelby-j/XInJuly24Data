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<sst xmlns="http://schemas.openxmlformats.org/spreadsheetml/2006/main" count="431" uniqueCount="105">
  <si>
    <t>ML Method Testing, R^2 values for different models used for view count imputation</t>
  </si>
  <si>
    <t>Linear Regression</t>
  </si>
  <si>
    <t>KNN</t>
  </si>
  <si>
    <t>Extra Trees (randomTrees)</t>
  </si>
  <si>
    <t>Huber robust linear regressor</t>
  </si>
  <si>
    <t>Engagement daily average</t>
  </si>
  <si>
    <t xml:space="preserve">Total Mentions </t>
  </si>
  <si>
    <t>Mentions Rate - average daily</t>
  </si>
  <si>
    <t>Total Likes across all posts</t>
  </si>
  <si>
    <t>Average Likes</t>
  </si>
  <si>
    <t>Total Views across all posts</t>
  </si>
  <si>
    <t>Average Views</t>
  </si>
  <si>
    <t># Tweets</t>
  </si>
  <si>
    <t>Average Views Amp. Index w/ rolling post avg per user</t>
  </si>
  <si>
    <t>Average Views Amplification Index (views / (followers * tweets))</t>
  </si>
  <si>
    <t>Users</t>
  </si>
  <si>
    <t>USER IDS</t>
  </si>
  <si>
    <t>Train r^2</t>
  </si>
  <si>
    <t>test r^2</t>
  </si>
  <si>
    <t>Train</t>
  </si>
  <si>
    <t>Test</t>
  </si>
  <si>
    <t>Best Test value</t>
  </si>
  <si>
    <t>Best model</t>
  </si>
  <si>
    <t>Before 7/13</t>
  </si>
  <si>
    <t>After 7/13</t>
  </si>
  <si>
    <t>% change</t>
  </si>
  <si>
    <t>before 7/13</t>
  </si>
  <si>
    <t>after 7/13</t>
  </si>
  <si>
    <t>Average Followers</t>
  </si>
  <si>
    <t># tweets in dataset</t>
  </si>
  <si>
    <t># tweets missing views</t>
  </si>
  <si>
    <t>% missing views</t>
  </si>
  <si>
    <t xml:space="preserve"> after 7/13</t>
  </si>
  <si>
    <t>Catturd2</t>
  </si>
  <si>
    <t>1043185714437992449</t>
  </si>
  <si>
    <t>end wokeness</t>
  </si>
  <si>
    <t>1552795969959636992</t>
  </si>
  <si>
    <t>laura loomer</t>
  </si>
  <si>
    <t>defiant Ls</t>
  </si>
  <si>
    <t>1390762874809761793</t>
  </si>
  <si>
    <t>Liz wheeler</t>
  </si>
  <si>
    <t>nick fuentes</t>
  </si>
  <si>
    <t>collin rugg</t>
  </si>
  <si>
    <t>890061634181373952</t>
  </si>
  <si>
    <t>Pro-Trump Group</t>
  </si>
  <si>
    <t>jojofromjerz</t>
  </si>
  <si>
    <t>818893114979061761</t>
  </si>
  <si>
    <t>filipkowski</t>
  </si>
  <si>
    <t>1298372735383605249</t>
  </si>
  <si>
    <t>sisson</t>
  </si>
  <si>
    <t>gtconway3d</t>
  </si>
  <si>
    <t>smc429</t>
  </si>
  <si>
    <t>rickydavilla</t>
  </si>
  <si>
    <t>joycewhitevance</t>
  </si>
  <si>
    <t>Anti-Trump Group</t>
  </si>
  <si>
    <t>% difference between pro/anti-Trump</t>
  </si>
  <si>
    <t>Amplification</t>
  </si>
  <si>
    <t>View Amplification</t>
  </si>
  <si>
    <t>LIke Amplification</t>
  </si>
  <si>
    <t>Mention Amplification</t>
  </si>
  <si>
    <t>% increase</t>
  </si>
  <si>
    <t>T Test Paired</t>
  </si>
  <si>
    <t>@catturd2</t>
  </si>
  <si>
    <t>@endwokeness</t>
  </si>
  <si>
    <t>@lauraloomer</t>
  </si>
  <si>
    <t>@defiantls</t>
  </si>
  <si>
    <t>@liz_wheeler</t>
  </si>
  <si>
    <t>@nickjfuentes</t>
  </si>
  <si>
    <t>@collinrugg</t>
  </si>
  <si>
    <t>@jojofromjerz</t>
  </si>
  <si>
    <t>@ronfilipkowski</t>
  </si>
  <si>
    <t>@harryjsisson</t>
  </si>
  <si>
    <t>@gtconway3d</t>
  </si>
  <si>
    <t>@smc429</t>
  </si>
  <si>
    <t>@therickydavila</t>
  </si>
  <si>
    <t>@joycewhitevance</t>
  </si>
  <si>
    <t>avg view amp</t>
  </si>
  <si>
    <t>Group</t>
  </si>
  <si>
    <t>% Change</t>
  </si>
  <si>
    <t>avg engagement</t>
  </si>
  <si>
    <t>Pro-Trump</t>
  </si>
  <si>
    <t>Anti-Trump</t>
  </si>
  <si>
    <t>Views</t>
  </si>
  <si>
    <t>Anova: Two-Factor With Replication</t>
  </si>
  <si>
    <t>Likes</t>
  </si>
  <si>
    <t>Mentions</t>
  </si>
  <si>
    <t>SUMMARY</t>
  </si>
  <si>
    <t>Total</t>
  </si>
  <si>
    <t>Count</t>
  </si>
  <si>
    <t>Sum</t>
  </si>
  <si>
    <t>Average</t>
  </si>
  <si>
    <t>Variance</t>
  </si>
  <si>
    <t>% difference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</si>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</sst>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i/>
      <color theme="1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D890"/>
        <bgColor rgb="FFFFD890"/>
      </patternFill>
    </fill>
    <fill>
      <patternFill patternType="solid">
        <fgColor rgb="FFE4E789"/>
        <bgColor rgb="FFE4E789"/>
      </patternFill>
    </fill>
    <fill>
      <patternFill patternType="solid">
        <fgColor rgb="FFFFD991"/>
        <bgColor rgb="FFFFD991"/>
      </patternFill>
    </fill>
    <fill>
      <patternFill patternType="solid">
        <fgColor rgb="FFFFE196"/>
        <bgColor rgb="FFFFE196"/>
      </patternFill>
    </fill>
    <fill>
      <patternFill patternType="solid">
        <fgColor rgb="FFF4CCCC"/>
        <bgColor rgb="FFF4CCCC"/>
      </patternFill>
    </fill>
    <fill>
      <patternFill patternType="solid">
        <fgColor rgb="FFFFDD94"/>
        <bgColor rgb="FFFFDD94"/>
      </patternFill>
    </fill>
    <fill>
      <patternFill patternType="solid">
        <fgColor rgb="FFFFDE94"/>
        <bgColor rgb="FFFFDE94"/>
      </patternFill>
    </fill>
    <fill>
      <patternFill patternType="solid">
        <fgColor rgb="FFFFE297"/>
        <bgColor rgb="FFFFE297"/>
      </patternFill>
    </fill>
    <fill>
      <patternFill patternType="solid">
        <fgColor rgb="FFD3E97F"/>
        <bgColor rgb="FFD3E97F"/>
      </patternFill>
    </fill>
    <fill>
      <patternFill patternType="solid">
        <fgColor rgb="FFFFE398"/>
        <bgColor rgb="FFFFE398"/>
      </patternFill>
    </fill>
    <fill>
      <patternFill patternType="solid">
        <fgColor rgb="FF96EF5A"/>
        <bgColor rgb="FF96EF5A"/>
      </patternFill>
    </fill>
    <fill>
      <patternFill patternType="solid">
        <fgColor rgb="FFFFBA7C"/>
        <bgColor rgb="FFFFBA7C"/>
      </patternFill>
    </fill>
    <fill>
      <patternFill patternType="solid">
        <fgColor rgb="FFFF573A"/>
        <bgColor rgb="FFFF573A"/>
      </patternFill>
    </fill>
    <fill>
      <patternFill patternType="solid">
        <fgColor rgb="FFFFC583"/>
        <bgColor rgb="FFFFC583"/>
      </patternFill>
    </fill>
    <fill>
      <patternFill patternType="solid">
        <fgColor rgb="FFFFE498"/>
        <bgColor rgb="FFFFE498"/>
      </patternFill>
    </fill>
    <fill>
      <patternFill patternType="solid">
        <fgColor rgb="FFFFE095"/>
        <bgColor rgb="FFFFE095"/>
      </patternFill>
    </fill>
    <fill>
      <patternFill patternType="solid">
        <fgColor rgb="FFDAE883"/>
        <bgColor rgb="FFDAE883"/>
      </patternFill>
    </fill>
    <fill>
      <patternFill patternType="solid">
        <fgColor rgb="FFFFE397"/>
        <bgColor rgb="FFFFE397"/>
      </patternFill>
    </fill>
    <fill>
      <patternFill patternType="solid">
        <fgColor rgb="FFFFE599"/>
        <bgColor rgb="FFFFE599"/>
      </patternFill>
    </fill>
    <fill>
      <patternFill patternType="solid">
        <fgColor rgb="FFFFDC93"/>
        <bgColor rgb="FFFFDC93"/>
      </patternFill>
    </fill>
    <fill>
      <patternFill patternType="solid">
        <fgColor rgb="FFC9DAF8"/>
        <bgColor rgb="FFC9DAF8"/>
      </patternFill>
    </fill>
    <fill>
      <patternFill patternType="solid">
        <fgColor rgb="FF35F920"/>
        <bgColor rgb="FF35F920"/>
      </patternFill>
    </fill>
    <fill>
      <patternFill patternType="solid">
        <fgColor rgb="FF2AFA1A"/>
        <bgColor rgb="FF2AFA1A"/>
      </patternFill>
    </fill>
    <fill>
      <patternFill patternType="solid">
        <fgColor rgb="FF28FB18"/>
        <bgColor rgb="FF28FB18"/>
      </patternFill>
    </fill>
    <fill>
      <patternFill patternType="solid">
        <fgColor rgb="FF66F43D"/>
        <bgColor rgb="FF66F43D"/>
      </patternFill>
    </fill>
    <fill>
      <patternFill patternType="solid">
        <fgColor rgb="FFA4C2F4"/>
        <bgColor rgb="FFA4C2F4"/>
      </patternFill>
    </fill>
    <fill>
      <patternFill patternType="solid">
        <fgColor rgb="FFA4EE63"/>
        <bgColor rgb="FFA4EE63"/>
      </patternFill>
    </fill>
    <fill>
      <patternFill patternType="solid">
        <fgColor rgb="FFE6E78A"/>
        <bgColor rgb="FFE6E78A"/>
      </patternFill>
    </fill>
    <fill>
      <patternFill patternType="solid">
        <fgColor rgb="FFF2E691"/>
        <bgColor rgb="FFF2E691"/>
      </patternFill>
    </fill>
    <fill>
      <patternFill patternType="solid">
        <fgColor rgb="FF38F922"/>
        <bgColor rgb="FF38F922"/>
      </patternFill>
    </fill>
    <fill>
      <patternFill patternType="solid">
        <fgColor rgb="FFB4EC6C"/>
        <bgColor rgb="FFB4EC6C"/>
      </patternFill>
    </fill>
    <fill>
      <patternFill patternType="solid">
        <fgColor rgb="FFBDEB71"/>
        <bgColor rgb="FFBDEB71"/>
      </patternFill>
    </fill>
    <fill>
      <patternFill patternType="solid">
        <fgColor rgb="FFB7EC6E"/>
        <bgColor rgb="FFB7EC6E"/>
      </patternFill>
    </fill>
    <fill>
      <patternFill patternType="solid">
        <fgColor rgb="FF7EF24C"/>
        <bgColor rgb="FF7EF24C"/>
      </patternFill>
    </fill>
    <fill>
      <patternFill patternType="solid">
        <fgColor rgb="FF57F634"/>
        <bgColor rgb="FF57F634"/>
      </patternFill>
    </fill>
    <fill>
      <patternFill patternType="solid">
        <fgColor rgb="FFF3E692"/>
        <bgColor rgb="FFF3E692"/>
      </patternFill>
    </fill>
    <fill>
      <patternFill patternType="solid">
        <fgColor rgb="FFA0EE60"/>
        <bgColor rgb="FFA0EE60"/>
      </patternFill>
    </fill>
    <fill>
      <patternFill patternType="solid">
        <fgColor rgb="FFCEEA7C"/>
        <bgColor rgb="FFCEEA7C"/>
      </patternFill>
    </fill>
    <fill>
      <patternFill patternType="solid">
        <fgColor rgb="FFFDE598"/>
        <bgColor rgb="FFFDE598"/>
      </patternFill>
    </fill>
    <fill>
      <patternFill patternType="solid">
        <fgColor rgb="FF00FF00"/>
        <bgColor rgb="FF00FF00"/>
      </patternFill>
    </fill>
    <fill>
      <patternFill patternType="solid">
        <fgColor rgb="FF8CF054"/>
        <bgColor rgb="FF8CF054"/>
      </patternFill>
    </fill>
    <fill>
      <patternFill patternType="solid">
        <fgColor rgb="FF71F344"/>
        <bgColor rgb="FF71F344"/>
      </patternFill>
    </fill>
    <fill>
      <patternFill patternType="solid">
        <fgColor rgb="FF18FC0E"/>
        <bgColor rgb="FF18FC0E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horizontal="right" vertical="bottom"/>
    </xf>
    <xf borderId="0" fillId="6" fontId="1" numFmtId="0" xfId="0" applyAlignment="1" applyFill="1" applyFont="1">
      <alignment horizontal="right" vertical="bottom"/>
    </xf>
    <xf borderId="0" fillId="7" fontId="1" numFmtId="0" xfId="0" applyAlignment="1" applyFill="1" applyFont="1">
      <alignment horizontal="right" vertical="bottom"/>
    </xf>
    <xf borderId="0" fillId="3" fontId="1" numFmtId="0" xfId="0" applyAlignment="1" applyFont="1">
      <alignment vertical="bottom"/>
    </xf>
    <xf borderId="3" fillId="0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horizontal="right" vertical="bottom"/>
    </xf>
    <xf borderId="0" fillId="8" fontId="1" numFmtId="0" xfId="0" applyAlignment="1" applyFill="1" applyFont="1">
      <alignment vertical="bottom"/>
    </xf>
    <xf borderId="0" fillId="8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9" fontId="1" numFmtId="0" xfId="0" applyAlignment="1" applyFill="1" applyFont="1">
      <alignment horizontal="right" vertical="bottom"/>
    </xf>
    <xf borderId="0" fillId="10" fontId="1" numFmtId="0" xfId="0" applyAlignment="1" applyFill="1" applyFont="1">
      <alignment horizontal="right" vertical="bottom"/>
    </xf>
    <xf borderId="0" fillId="7" fontId="2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11" fontId="1" numFmtId="0" xfId="0" applyAlignment="1" applyFill="1" applyFont="1">
      <alignment horizontal="right" vertical="bottom"/>
    </xf>
    <xf borderId="0" fillId="12" fontId="1" numFmtId="0" xfId="0" applyAlignment="1" applyFill="1" applyFont="1">
      <alignment horizontal="right" vertical="bottom"/>
    </xf>
    <xf borderId="0" fillId="13" fontId="1" numFmtId="0" xfId="0" applyAlignment="1" applyFill="1" applyFont="1">
      <alignment horizontal="right" vertical="bottom"/>
    </xf>
    <xf borderId="0" fillId="14" fontId="1" numFmtId="0" xfId="0" applyAlignment="1" applyFill="1" applyFont="1">
      <alignment horizontal="right" vertical="bottom"/>
    </xf>
    <xf borderId="0" fillId="3" fontId="1" numFmtId="3" xfId="0" applyAlignment="1" applyFont="1" applyNumberFormat="1">
      <alignment horizontal="right" vertical="bottom"/>
    </xf>
    <xf borderId="0" fillId="15" fontId="1" numFmtId="0" xfId="0" applyAlignment="1" applyFill="1" applyFont="1">
      <alignment horizontal="right" vertical="bottom"/>
    </xf>
    <xf borderId="0" fillId="16" fontId="1" numFmtId="0" xfId="0" applyAlignment="1" applyFill="1" applyFont="1">
      <alignment horizontal="right" vertical="bottom"/>
    </xf>
    <xf borderId="0" fillId="17" fontId="1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11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18" fontId="1" numFmtId="0" xfId="0" applyAlignment="1" applyFill="1" applyFont="1">
      <alignment horizontal="right" vertical="bottom"/>
    </xf>
    <xf borderId="0" fillId="19" fontId="1" numFmtId="0" xfId="0" applyAlignment="1" applyFill="1" applyFont="1">
      <alignment horizontal="right" vertical="bottom"/>
    </xf>
    <xf borderId="0" fillId="20" fontId="1" numFmtId="0" xfId="0" applyAlignment="1" applyFill="1" applyFont="1">
      <alignment horizontal="right" vertical="bottom"/>
    </xf>
    <xf borderId="0" fillId="21" fontId="1" numFmtId="0" xfId="0" applyAlignment="1" applyFill="1" applyFont="1">
      <alignment horizontal="right" vertical="bottom"/>
    </xf>
    <xf borderId="0" fillId="8" fontId="1" numFmtId="0" xfId="0" applyAlignment="1" applyFont="1">
      <alignment horizontal="right" vertical="bottom"/>
    </xf>
    <xf borderId="0" fillId="22" fontId="1" numFmtId="0" xfId="0" applyAlignment="1" applyFill="1" applyFont="1">
      <alignment horizontal="right" vertical="bottom"/>
    </xf>
    <xf borderId="1" fillId="3" fontId="2" numFmtId="0" xfId="0" applyAlignment="1" applyBorder="1" applyFont="1">
      <alignment horizontal="right" vertical="bottom"/>
    </xf>
    <xf borderId="0" fillId="8" fontId="3" numFmtId="0" xfId="0" applyAlignment="1" applyFont="1">
      <alignment vertical="bottom"/>
    </xf>
    <xf borderId="0" fillId="23" fontId="1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3" fillId="24" fontId="1" numFmtId="0" xfId="0" applyAlignment="1" applyBorder="1" applyFill="1" applyFont="1">
      <alignment vertical="bottom"/>
    </xf>
    <xf borderId="3" fillId="24" fontId="1" numFmtId="0" xfId="0" applyAlignment="1" applyBorder="1" applyFont="1">
      <alignment vertical="bottom"/>
    </xf>
    <xf borderId="3" fillId="25" fontId="1" numFmtId="0" xfId="0" applyAlignment="1" applyBorder="1" applyFill="1" applyFont="1">
      <alignment horizontal="right" vertical="bottom"/>
    </xf>
    <xf borderId="3" fillId="26" fontId="1" numFmtId="0" xfId="0" applyAlignment="1" applyBorder="1" applyFill="1" applyFont="1">
      <alignment horizontal="right" vertical="bottom"/>
    </xf>
    <xf borderId="3" fillId="27" fontId="1" numFmtId="0" xfId="0" applyAlignment="1" applyBorder="1" applyFill="1" applyFont="1">
      <alignment horizontal="right" vertical="bottom"/>
    </xf>
    <xf borderId="3" fillId="28" fontId="1" numFmtId="0" xfId="0" applyAlignment="1" applyBorder="1" applyFill="1" applyFont="1">
      <alignment horizontal="right" vertical="bottom"/>
    </xf>
    <xf borderId="0" fillId="27" fontId="1" numFmtId="0" xfId="0" applyAlignment="1" applyFont="1">
      <alignment horizontal="right" vertical="bottom"/>
    </xf>
    <xf borderId="3" fillId="3" fontId="1" numFmtId="0" xfId="0" applyAlignment="1" applyBorder="1" applyFont="1">
      <alignment horizontal="right" vertical="bottom"/>
    </xf>
    <xf borderId="3" fillId="0" fontId="1" numFmtId="3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right" vertical="bottom"/>
    </xf>
    <xf borderId="0" fillId="29" fontId="1" numFmtId="0" xfId="0" applyAlignment="1" applyFill="1" applyFont="1">
      <alignment vertical="bottom"/>
    </xf>
    <xf borderId="0" fillId="29" fontId="1" numFmtId="0" xfId="0" applyAlignment="1" applyFont="1">
      <alignment vertical="bottom"/>
    </xf>
    <xf borderId="0" fillId="30" fontId="1" numFmtId="0" xfId="0" applyAlignment="1" applyFill="1" applyFont="1">
      <alignment horizontal="right" vertical="bottom"/>
    </xf>
    <xf borderId="0" fillId="31" fontId="1" numFmtId="0" xfId="0" applyAlignment="1" applyFill="1" applyFont="1">
      <alignment horizontal="right" vertical="bottom"/>
    </xf>
    <xf borderId="0" fillId="32" fontId="1" numFmtId="0" xfId="0" applyAlignment="1" applyFill="1" applyFont="1">
      <alignment horizontal="right" vertical="bottom"/>
    </xf>
    <xf borderId="0" fillId="24" fontId="1" numFmtId="0" xfId="0" applyAlignment="1" applyFont="1">
      <alignment vertical="bottom"/>
    </xf>
    <xf borderId="0" fillId="24" fontId="1" numFmtId="0" xfId="0" applyAlignment="1" applyFont="1">
      <alignment horizontal="right" vertical="bottom"/>
    </xf>
    <xf borderId="0" fillId="33" fontId="1" numFmtId="0" xfId="0" applyAlignment="1" applyFill="1" applyFont="1">
      <alignment horizontal="right" vertical="bottom"/>
    </xf>
    <xf borderId="0" fillId="34" fontId="1" numFmtId="0" xfId="0" applyAlignment="1" applyFill="1" applyFont="1">
      <alignment horizontal="right" vertical="bottom"/>
    </xf>
    <xf borderId="0" fillId="35" fontId="1" numFmtId="0" xfId="0" applyAlignment="1" applyFill="1" applyFont="1">
      <alignment horizontal="right" vertical="bottom"/>
    </xf>
    <xf borderId="0" fillId="36" fontId="1" numFmtId="0" xfId="0" applyAlignment="1" applyFill="1" applyFont="1">
      <alignment horizontal="right" vertical="bottom"/>
    </xf>
    <xf borderId="0" fillId="29" fontId="1" numFmtId="0" xfId="0" applyAlignment="1" applyFont="1">
      <alignment horizontal="right" vertical="bottom"/>
    </xf>
    <xf borderId="0" fillId="37" fontId="1" numFmtId="0" xfId="0" applyAlignment="1" applyFill="1" applyFont="1">
      <alignment horizontal="right" vertical="bottom"/>
    </xf>
    <xf borderId="0" fillId="38" fontId="1" numFmtId="0" xfId="0" applyAlignment="1" applyFill="1" applyFont="1">
      <alignment horizontal="right" vertical="bottom"/>
    </xf>
    <xf borderId="0" fillId="39" fontId="1" numFmtId="0" xfId="0" applyAlignment="1" applyFill="1" applyFont="1">
      <alignment horizontal="right" vertical="bottom"/>
    </xf>
    <xf borderId="0" fillId="40" fontId="1" numFmtId="0" xfId="0" applyAlignment="1" applyFill="1" applyFont="1">
      <alignment horizontal="right" vertical="bottom"/>
    </xf>
    <xf borderId="0" fillId="41" fontId="1" numFmtId="0" xfId="0" applyAlignment="1" applyFill="1" applyFont="1">
      <alignment horizontal="right" vertical="bottom"/>
    </xf>
    <xf borderId="0" fillId="42" fontId="1" numFmtId="0" xfId="0" applyAlignment="1" applyFill="1" applyFont="1">
      <alignment horizontal="right" vertical="bottom"/>
    </xf>
    <xf borderId="0" fillId="43" fontId="1" numFmtId="0" xfId="0" applyAlignment="1" applyFill="1" applyFont="1">
      <alignment horizontal="right" vertical="bottom"/>
    </xf>
    <xf borderId="0" fillId="44" fontId="1" numFmtId="0" xfId="0" applyAlignment="1" applyFill="1" applyFont="1">
      <alignment horizontal="right" vertical="bottom"/>
    </xf>
    <xf borderId="0" fillId="45" fontId="1" numFmtId="0" xfId="0" applyAlignment="1" applyFill="1" applyFont="1">
      <alignment horizontal="right" vertical="bottom"/>
    </xf>
    <xf borderId="0" fillId="46" fontId="1" numFmtId="0" xfId="0" applyAlignment="1" applyFill="1" applyFont="1">
      <alignment horizontal="right" vertical="bottom"/>
    </xf>
    <xf borderId="0" fillId="29" fontId="3" numFmtId="0" xfId="0" applyAlignment="1" applyFont="1">
      <alignment vertical="bottom"/>
    </xf>
    <xf borderId="0" fillId="3" fontId="3" numFmtId="3" xfId="0" applyAlignment="1" applyFont="1" applyNumberFormat="1">
      <alignment horizontal="right" vertical="bottom"/>
    </xf>
    <xf borderId="1" fillId="3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47" fontId="1" numFmtId="0" xfId="0" applyAlignment="1" applyFill="1" applyFont="1">
      <alignment vertical="bottom"/>
    </xf>
    <xf borderId="0" fillId="47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47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48" fontId="1" numFmtId="0" xfId="0" applyAlignment="1" applyFill="1" applyFont="1">
      <alignment shrinkToFit="0" vertical="bottom" wrapText="1"/>
    </xf>
    <xf borderId="0" fillId="47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47" fontId="1" numFmtId="3" xfId="0" applyAlignment="1" applyFont="1" applyNumberFormat="1">
      <alignment horizontal="right" vertical="bottom"/>
    </xf>
    <xf borderId="0" fillId="49" fontId="1" numFmtId="0" xfId="0" applyAlignment="1" applyFill="1" applyFont="1">
      <alignment shrinkToFit="0" vertical="bottom" wrapText="1"/>
    </xf>
    <xf borderId="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29" fontId="1" numFmtId="0" xfId="0" applyAlignment="1" applyFont="1">
      <alignment shrinkToFit="0" vertical="bottom" wrapText="1"/>
    </xf>
    <xf borderId="0" fillId="50" fontId="1" numFmtId="0" xfId="0" applyAlignment="1" applyFill="1" applyFont="1">
      <alignment shrinkToFit="0" vertical="bottom" wrapText="1"/>
    </xf>
    <xf borderId="0" fillId="47" fontId="1" numFmtId="10" xfId="0" applyAlignment="1" applyFont="1" applyNumberFormat="1">
      <alignment vertical="bottom"/>
    </xf>
    <xf borderId="0" fillId="47" fontId="1" numFmtId="10" xfId="0" applyAlignment="1" applyFont="1" applyNumberFormat="1">
      <alignment horizontal="right" vertical="bottom"/>
    </xf>
    <xf borderId="6" fillId="0" fontId="1" numFmtId="9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8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7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4" numFmtId="9" xfId="0" applyAlignment="1" applyFont="1" applyNumberFormat="1">
      <alignment readingOrder="0"/>
    </xf>
    <xf borderId="0" fillId="48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horizontal="right" vertical="bottom"/>
    </xf>
    <xf borderId="0" fillId="49" fontId="1" numFmtId="0" xfId="0" applyAlignment="1" applyFont="1">
      <alignment vertical="bottom"/>
    </xf>
    <xf borderId="0" fillId="29" fontId="1" numFmtId="0" xfId="0" applyAlignment="1" applyFont="1">
      <alignment vertical="bottom"/>
    </xf>
    <xf borderId="0" fillId="50" fontId="1" numFmtId="0" xfId="0" applyAlignment="1" applyFont="1">
      <alignment vertical="bottom"/>
    </xf>
    <xf borderId="0" fillId="48" fontId="1" numFmtId="0" xfId="0" applyAlignment="1" applyFont="1">
      <alignment vertical="bottom"/>
    </xf>
    <xf borderId="0" fillId="49" fontId="1" numFmtId="0" xfId="0" applyAlignment="1" applyFont="1">
      <alignment vertical="bottom"/>
    </xf>
    <xf borderId="9" fillId="0" fontId="3" numFmtId="0" xfId="0" applyAlignment="1" applyBorder="1" applyFont="1">
      <alignment horizontal="center" vertical="bottom"/>
    </xf>
    <xf borderId="0" fillId="5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4.13"/>
  </cols>
  <sheetData>
    <row r="1">
      <c r="A1" s="1"/>
      <c r="B1" s="1"/>
      <c r="C1" s="2" t="s">
        <v>0</v>
      </c>
    </row>
    <row r="2">
      <c r="A2" s="1"/>
      <c r="B2" s="1"/>
      <c r="C2" s="3" t="s">
        <v>1</v>
      </c>
      <c r="E2" s="3" t="s">
        <v>2</v>
      </c>
      <c r="G2" s="3" t="s">
        <v>3</v>
      </c>
      <c r="I2" s="3" t="s">
        <v>4</v>
      </c>
      <c r="K2" s="1"/>
      <c r="L2" s="1"/>
      <c r="M2" s="4" t="s">
        <v>5</v>
      </c>
      <c r="P2" s="4" t="s">
        <v>6</v>
      </c>
      <c r="R2" s="4" t="s">
        <v>7</v>
      </c>
      <c r="U2" s="4" t="s">
        <v>8</v>
      </c>
      <c r="W2" s="4" t="s">
        <v>9</v>
      </c>
      <c r="Z2" s="4" t="s">
        <v>10</v>
      </c>
      <c r="AB2" s="4" t="s">
        <v>11</v>
      </c>
      <c r="AE2" s="1"/>
      <c r="AF2" s="1"/>
      <c r="AG2" s="1"/>
      <c r="AH2" s="1"/>
      <c r="AI2" s="4" t="s">
        <v>12</v>
      </c>
      <c r="AK2" s="5" t="s">
        <v>13</v>
      </c>
      <c r="AN2" s="6" t="s">
        <v>14</v>
      </c>
    </row>
    <row r="3">
      <c r="A3" s="1" t="s">
        <v>15</v>
      </c>
      <c r="B3" s="1" t="s">
        <v>16</v>
      </c>
      <c r="C3" s="7" t="s">
        <v>17</v>
      </c>
      <c r="D3" s="8" t="s">
        <v>18</v>
      </c>
      <c r="E3" s="1" t="s">
        <v>19</v>
      </c>
      <c r="F3" s="9" t="s">
        <v>20</v>
      </c>
      <c r="G3" s="1" t="s">
        <v>19</v>
      </c>
      <c r="H3" s="9" t="s">
        <v>20</v>
      </c>
      <c r="I3" s="1" t="s">
        <v>19</v>
      </c>
      <c r="J3" s="9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23</v>
      </c>
      <c r="Q3" s="1" t="s">
        <v>24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23</v>
      </c>
      <c r="X3" s="1" t="s">
        <v>24</v>
      </c>
      <c r="Y3" s="1" t="s">
        <v>25</v>
      </c>
      <c r="Z3" s="1" t="s">
        <v>23</v>
      </c>
      <c r="AA3" s="1" t="s">
        <v>24</v>
      </c>
      <c r="AB3" s="1" t="s">
        <v>23</v>
      </c>
      <c r="AC3" s="1" t="s">
        <v>24</v>
      </c>
      <c r="AD3" s="1" t="s">
        <v>25</v>
      </c>
      <c r="AE3" s="4" t="s">
        <v>28</v>
      </c>
      <c r="AF3" s="4" t="s">
        <v>29</v>
      </c>
      <c r="AG3" s="4" t="s">
        <v>30</v>
      </c>
      <c r="AH3" s="4" t="s">
        <v>31</v>
      </c>
      <c r="AI3" s="5" t="s">
        <v>23</v>
      </c>
      <c r="AJ3" s="4" t="s">
        <v>24</v>
      </c>
      <c r="AK3" s="10" t="s">
        <v>26</v>
      </c>
      <c r="AL3" s="4" t="s">
        <v>32</v>
      </c>
      <c r="AM3" s="4" t="s">
        <v>25</v>
      </c>
      <c r="AN3" s="10" t="s">
        <v>26</v>
      </c>
      <c r="AO3" s="4" t="s">
        <v>32</v>
      </c>
      <c r="AP3" s="4" t="s">
        <v>25</v>
      </c>
    </row>
    <row r="4">
      <c r="A4" s="11" t="s">
        <v>33</v>
      </c>
      <c r="B4" s="12" t="s">
        <v>34</v>
      </c>
      <c r="C4" s="13">
        <v>81.51</v>
      </c>
      <c r="D4" s="14">
        <v>-32.57</v>
      </c>
      <c r="E4" s="13">
        <v>1.0</v>
      </c>
      <c r="F4" s="15">
        <v>60.87</v>
      </c>
      <c r="G4" s="13">
        <v>1.0</v>
      </c>
      <c r="H4" s="16">
        <v>-21.43</v>
      </c>
      <c r="I4" s="13">
        <v>77.44</v>
      </c>
      <c r="J4" s="17">
        <v>33.43</v>
      </c>
      <c r="K4" s="15">
        <f t="shared" ref="K4:K19" si="1">MAX(D4,F4,H4,J4)</f>
        <v>60.87</v>
      </c>
      <c r="L4" s="18" t="str">
        <f t="shared" ref="L4:L19" si="2">ifs(K4=D4,C$2,K4=F4,E$2,K4=H4,G$2,K4=J4,I$2)</f>
        <v>KNN</v>
      </c>
      <c r="M4" s="13">
        <v>0.0321</v>
      </c>
      <c r="N4" s="13">
        <v>0.0422</v>
      </c>
      <c r="O4" s="13">
        <f t="shared" ref="O4:O10" si="3">100*(N4-M4)/(M4)</f>
        <v>31.46417445</v>
      </c>
      <c r="P4" s="13">
        <v>54392.0</v>
      </c>
      <c r="Q4" s="13">
        <v>154547.0</v>
      </c>
      <c r="R4" s="13">
        <v>3.5259E-4</v>
      </c>
      <c r="S4" s="13">
        <v>3.5688E-4</v>
      </c>
      <c r="T4" s="13">
        <f t="shared" ref="T4:T7" si="4">100*(S4-R4)/R4</f>
        <v>1.216710627</v>
      </c>
      <c r="U4" s="13">
        <v>3114872.0</v>
      </c>
      <c r="V4" s="13">
        <v>2553602.0</v>
      </c>
      <c r="W4" s="13">
        <v>14470.86</v>
      </c>
      <c r="X4" s="13">
        <v>25212.48</v>
      </c>
      <c r="Y4" s="13">
        <f t="shared" ref="Y4:Y10" si="5">100*(X4-W4)/W4</f>
        <v>74.22931325</v>
      </c>
      <c r="Z4" s="13">
        <v>3.2552997E7</v>
      </c>
      <c r="AA4" s="13">
        <v>5.8740813E7</v>
      </c>
      <c r="AB4" s="13">
        <v>465827.14</v>
      </c>
      <c r="AC4" s="13">
        <v>691787.21</v>
      </c>
      <c r="AD4" s="13">
        <f t="shared" ref="AD4:AD10" si="6">100*(AC4-AB4)/AB4</f>
        <v>48.5072789</v>
      </c>
      <c r="AE4" s="13">
        <v>2913701.74590164</v>
      </c>
      <c r="AF4" s="13">
        <v>322.0</v>
      </c>
      <c r="AG4" s="13">
        <v>134.0</v>
      </c>
      <c r="AH4" s="13">
        <f t="shared" ref="AH4:AH19" si="7">(AG4/AF4) * 100</f>
        <v>41.61490683</v>
      </c>
      <c r="AI4" s="13">
        <v>222.0</v>
      </c>
      <c r="AJ4" s="13">
        <v>100.0</v>
      </c>
      <c r="AK4" s="13">
        <v>0.1727194</v>
      </c>
      <c r="AL4" s="13">
        <v>0.256065</v>
      </c>
      <c r="AM4" s="19">
        <f t="shared" ref="AM4:AM19" si="8">100*(AL4-AK4)/AK4</f>
        <v>48.2549152</v>
      </c>
      <c r="AN4" s="20">
        <v>0.146445</v>
      </c>
      <c r="AO4" s="13">
        <v>0.20946</v>
      </c>
      <c r="AP4" s="13">
        <f t="shared" ref="AP4:AP19" si="9"> 100 * (AO4-AN4)/AN4</f>
        <v>43.02980641</v>
      </c>
    </row>
    <row r="5">
      <c r="A5" s="21" t="s">
        <v>35</v>
      </c>
      <c r="B5" s="22" t="s">
        <v>36</v>
      </c>
      <c r="C5" s="23">
        <v>20.08</v>
      </c>
      <c r="D5" s="17">
        <v>30.96</v>
      </c>
      <c r="E5" s="23">
        <v>1.0</v>
      </c>
      <c r="F5" s="24">
        <v>5.59</v>
      </c>
      <c r="G5" s="23">
        <v>1.0</v>
      </c>
      <c r="H5" s="24">
        <v>6.49</v>
      </c>
      <c r="I5" s="23">
        <v>9.92</v>
      </c>
      <c r="J5" s="25">
        <v>13.9</v>
      </c>
      <c r="K5" s="26">
        <f t="shared" si="1"/>
        <v>30.96</v>
      </c>
      <c r="L5" s="18" t="str">
        <f t="shared" si="2"/>
        <v>Linear Regression</v>
      </c>
      <c r="M5" s="23">
        <v>0.0192</v>
      </c>
      <c r="N5" s="23">
        <v>0.0208</v>
      </c>
      <c r="O5" s="13">
        <f t="shared" si="3"/>
        <v>8.333333333</v>
      </c>
      <c r="P5" s="23">
        <v>23597.0</v>
      </c>
      <c r="Q5" s="23">
        <v>60303.0</v>
      </c>
      <c r="R5" s="23">
        <v>1.7937E-4</v>
      </c>
      <c r="S5" s="23">
        <v>1.4461E-4</v>
      </c>
      <c r="T5" s="13">
        <f t="shared" si="4"/>
        <v>-19.37893739</v>
      </c>
      <c r="U5" s="23">
        <v>3528190.0</v>
      </c>
      <c r="V5" s="23">
        <v>4116787.0</v>
      </c>
      <c r="W5" s="23">
        <v>22860.38</v>
      </c>
      <c r="X5" s="23">
        <v>31518.94</v>
      </c>
      <c r="Y5" s="13">
        <f t="shared" si="5"/>
        <v>37.87583583</v>
      </c>
      <c r="Z5" s="23">
        <v>8.9583221E7</v>
      </c>
      <c r="AA5" s="23">
        <v>4.47212842E8</v>
      </c>
      <c r="AB5" s="23">
        <v>1505046.17</v>
      </c>
      <c r="AC5" s="23">
        <v>2859613.62</v>
      </c>
      <c r="AD5" s="13">
        <f t="shared" si="6"/>
        <v>90.00172068</v>
      </c>
      <c r="AE5" s="23">
        <v>3009432.70992366</v>
      </c>
      <c r="AF5" s="23">
        <v>314.0</v>
      </c>
      <c r="AG5" s="23">
        <v>112.0</v>
      </c>
      <c r="AH5" s="23">
        <f t="shared" si="7"/>
        <v>35.66878981</v>
      </c>
      <c r="AI5" s="23">
        <v>156.0</v>
      </c>
      <c r="AJ5" s="23">
        <v>158.0</v>
      </c>
      <c r="AK5" s="23">
        <v>0.586425</v>
      </c>
      <c r="AL5" s="23">
        <v>1.481137</v>
      </c>
      <c r="AM5" s="19">
        <f t="shared" si="8"/>
        <v>152.5705759</v>
      </c>
      <c r="AN5" s="27">
        <v>0.557851</v>
      </c>
      <c r="AO5" s="23">
        <v>0.95224</v>
      </c>
      <c r="AP5" s="13">
        <f t="shared" si="9"/>
        <v>70.69791037</v>
      </c>
    </row>
    <row r="6">
      <c r="A6" s="11" t="s">
        <v>37</v>
      </c>
      <c r="B6" s="28">
        <v>5.37709549E8</v>
      </c>
      <c r="C6" s="13">
        <v>59.66</v>
      </c>
      <c r="D6" s="29">
        <v>40.76</v>
      </c>
      <c r="E6" s="13">
        <v>1.0</v>
      </c>
      <c r="F6" s="30">
        <v>63.6</v>
      </c>
      <c r="G6" s="13">
        <v>1.0</v>
      </c>
      <c r="H6" s="31">
        <v>47.72</v>
      </c>
      <c r="I6" s="13">
        <v>36.31</v>
      </c>
      <c r="J6" s="32">
        <v>72.94</v>
      </c>
      <c r="K6" s="32">
        <f t="shared" si="1"/>
        <v>72.94</v>
      </c>
      <c r="L6" s="18" t="str">
        <f t="shared" si="2"/>
        <v>Huber robust linear regressor</v>
      </c>
      <c r="M6" s="13">
        <v>0.0226</v>
      </c>
      <c r="N6" s="13">
        <v>0.033</v>
      </c>
      <c r="O6" s="13">
        <f t="shared" si="3"/>
        <v>46.01769912</v>
      </c>
      <c r="P6" s="13">
        <v>53018.0</v>
      </c>
      <c r="Q6" s="13">
        <v>101798.0</v>
      </c>
      <c r="R6" s="13">
        <v>4.7769E-4</v>
      </c>
      <c r="S6" s="13">
        <v>2.3682E-4</v>
      </c>
      <c r="T6" s="13">
        <f t="shared" si="4"/>
        <v>-50.42391509</v>
      </c>
      <c r="U6" s="13">
        <v>2778518.0</v>
      </c>
      <c r="V6" s="13">
        <v>4921949.0</v>
      </c>
      <c r="W6" s="13">
        <v>5186.1</v>
      </c>
      <c r="X6" s="13">
        <v>6175.31</v>
      </c>
      <c r="Y6" s="13">
        <f t="shared" si="5"/>
        <v>19.07425618</v>
      </c>
      <c r="Z6" s="13">
        <v>1.18591691E8</v>
      </c>
      <c r="AA6" s="13">
        <v>2.26108806E8</v>
      </c>
      <c r="AB6" s="13">
        <v>725561.91</v>
      </c>
      <c r="AC6" s="13">
        <v>267181.16</v>
      </c>
      <c r="AD6" s="13">
        <f t="shared" si="6"/>
        <v>-63.17596661</v>
      </c>
      <c r="AE6" s="33">
        <v>1271131.80310881</v>
      </c>
      <c r="AF6" s="33">
        <v>1272.0</v>
      </c>
      <c r="AG6" s="13">
        <v>270.0</v>
      </c>
      <c r="AH6" s="13">
        <f t="shared" si="7"/>
        <v>21.22641509</v>
      </c>
      <c r="AI6" s="13">
        <v>585.0</v>
      </c>
      <c r="AJ6" s="13">
        <v>687.0</v>
      </c>
      <c r="AK6" s="13">
        <v>0.3661277</v>
      </c>
      <c r="AL6" s="13">
        <v>0.2235417</v>
      </c>
      <c r="AM6" s="19">
        <f t="shared" si="8"/>
        <v>-38.94433554</v>
      </c>
      <c r="AN6" s="20">
        <v>0.283572</v>
      </c>
      <c r="AO6" s="13">
        <v>0.256869</v>
      </c>
      <c r="AP6" s="13">
        <f t="shared" si="9"/>
        <v>-9.416656087</v>
      </c>
    </row>
    <row r="7">
      <c r="A7" s="21" t="s">
        <v>38</v>
      </c>
      <c r="B7" s="22" t="s">
        <v>39</v>
      </c>
      <c r="C7" s="23">
        <v>31.49</v>
      </c>
      <c r="D7" s="34">
        <v>-242.98</v>
      </c>
      <c r="E7" s="23">
        <v>1.0</v>
      </c>
      <c r="F7" s="35">
        <v>-939.23</v>
      </c>
      <c r="G7" s="23">
        <v>1.0</v>
      </c>
      <c r="H7" s="36">
        <v>-166.44</v>
      </c>
      <c r="I7" s="37">
        <v>6.29</v>
      </c>
      <c r="J7" s="29">
        <v>40.35</v>
      </c>
      <c r="K7" s="38">
        <f t="shared" si="1"/>
        <v>40.35</v>
      </c>
      <c r="L7" s="18" t="str">
        <f t="shared" si="2"/>
        <v>Huber robust linear regressor</v>
      </c>
      <c r="M7" s="23">
        <v>0.0215</v>
      </c>
      <c r="N7" s="23">
        <v>0.0205</v>
      </c>
      <c r="O7" s="13">
        <f t="shared" si="3"/>
        <v>-4.651162791</v>
      </c>
      <c r="P7" s="23">
        <v>7088.0</v>
      </c>
      <c r="Q7" s="23">
        <v>39684.0</v>
      </c>
      <c r="R7" s="23">
        <v>3.785E-5</v>
      </c>
      <c r="S7" s="23">
        <v>1.0602E-4</v>
      </c>
      <c r="T7" s="39">
        <f t="shared" si="4"/>
        <v>180.1056803</v>
      </c>
      <c r="U7" s="23">
        <v>186501.0</v>
      </c>
      <c r="V7" s="23">
        <v>1182646.0</v>
      </c>
      <c r="W7" s="23">
        <v>4717.32</v>
      </c>
      <c r="X7" s="23">
        <v>7154.68</v>
      </c>
      <c r="Y7" s="13">
        <f t="shared" si="5"/>
        <v>51.66832015</v>
      </c>
      <c r="Z7" s="23">
        <v>3045208.0</v>
      </c>
      <c r="AA7" s="23">
        <v>1.45149336E8</v>
      </c>
      <c r="AB7" s="23">
        <v>239758.53</v>
      </c>
      <c r="AC7" s="23">
        <v>581115.52</v>
      </c>
      <c r="AD7" s="13">
        <f t="shared" si="6"/>
        <v>142.3753265</v>
      </c>
      <c r="AE7" s="40">
        <v>1279495.27927928</v>
      </c>
      <c r="AF7" s="23">
        <v>239.0</v>
      </c>
      <c r="AG7" s="23">
        <v>43.0</v>
      </c>
      <c r="AH7" s="23">
        <f t="shared" si="7"/>
        <v>17.9916318</v>
      </c>
      <c r="AI7" s="23">
        <v>44.0</v>
      </c>
      <c r="AJ7" s="23">
        <v>195.0</v>
      </c>
      <c r="AK7" s="23">
        <v>0.1428039</v>
      </c>
      <c r="AL7" s="23">
        <v>0.7197095</v>
      </c>
      <c r="AM7" s="41">
        <f t="shared" si="8"/>
        <v>403.984485</v>
      </c>
      <c r="AN7" s="27">
        <v>0.1355862</v>
      </c>
      <c r="AO7" s="23">
        <v>0.612844</v>
      </c>
      <c r="AP7" s="39">
        <f t="shared" si="9"/>
        <v>351.9958521</v>
      </c>
    </row>
    <row r="8">
      <c r="A8" s="11" t="s">
        <v>40</v>
      </c>
      <c r="B8" s="28">
        <v>2.64361128E8</v>
      </c>
      <c r="C8" s="13">
        <v>85.42</v>
      </c>
      <c r="D8" s="42">
        <v>54.67</v>
      </c>
      <c r="E8" s="13">
        <v>1.0</v>
      </c>
      <c r="F8" s="43">
        <v>23.69</v>
      </c>
      <c r="G8" s="13">
        <v>1.0</v>
      </c>
      <c r="H8" s="44">
        <v>62.5</v>
      </c>
      <c r="I8" s="13">
        <v>44.82</v>
      </c>
      <c r="J8" s="45">
        <v>43.46</v>
      </c>
      <c r="K8" s="44">
        <f t="shared" si="1"/>
        <v>62.5</v>
      </c>
      <c r="L8" s="18" t="str">
        <f t="shared" si="2"/>
        <v>Extra Trees (randomTrees)</v>
      </c>
      <c r="M8" s="13">
        <v>0.0378</v>
      </c>
      <c r="N8" s="13">
        <v>0.0541</v>
      </c>
      <c r="O8" s="13">
        <f t="shared" si="3"/>
        <v>43.12169312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72508.0</v>
      </c>
      <c r="V8" s="13">
        <v>112066.0</v>
      </c>
      <c r="W8" s="13">
        <v>2802.29</v>
      </c>
      <c r="X8" s="13">
        <v>3153.78</v>
      </c>
      <c r="Y8" s="13">
        <f t="shared" si="5"/>
        <v>12.54295594</v>
      </c>
      <c r="Z8" s="13">
        <v>2182474.0</v>
      </c>
      <c r="AA8" s="13">
        <v>2909067.0</v>
      </c>
      <c r="AB8" s="13">
        <v>160147.28</v>
      </c>
      <c r="AC8" s="13">
        <v>93862.75</v>
      </c>
      <c r="AD8" s="13">
        <f t="shared" si="6"/>
        <v>-41.389732</v>
      </c>
      <c r="AE8" s="33">
        <v>998259.243902439</v>
      </c>
      <c r="AF8" s="13">
        <v>74.0</v>
      </c>
      <c r="AG8" s="13">
        <v>9.0</v>
      </c>
      <c r="AH8" s="13">
        <f t="shared" si="7"/>
        <v>12.16216216</v>
      </c>
      <c r="AI8" s="13">
        <v>24.0</v>
      </c>
      <c r="AJ8" s="13">
        <v>50.0</v>
      </c>
      <c r="AK8" s="13">
        <v>0.1512599</v>
      </c>
      <c r="AL8" s="13">
        <v>0.1423881</v>
      </c>
      <c r="AM8" s="19">
        <f t="shared" si="8"/>
        <v>-5.865268984</v>
      </c>
      <c r="AN8" s="20">
        <v>0.1397142</v>
      </c>
      <c r="AO8" s="13">
        <v>0.0622412</v>
      </c>
      <c r="AP8" s="13">
        <f t="shared" si="9"/>
        <v>-55.45105651</v>
      </c>
    </row>
    <row r="9">
      <c r="A9" s="21" t="s">
        <v>41</v>
      </c>
      <c r="B9" s="46">
        <v>2.442888666E9</v>
      </c>
      <c r="C9" s="23">
        <v>84.06</v>
      </c>
      <c r="D9" s="42">
        <v>52.17</v>
      </c>
      <c r="E9" s="23">
        <v>1.0</v>
      </c>
      <c r="F9" s="45">
        <v>43.45</v>
      </c>
      <c r="G9" s="23">
        <v>1.0</v>
      </c>
      <c r="H9" s="42">
        <v>53.75</v>
      </c>
      <c r="I9" s="23">
        <v>83.33</v>
      </c>
      <c r="J9" s="42">
        <v>50.74</v>
      </c>
      <c r="K9" s="42">
        <f t="shared" si="1"/>
        <v>53.75</v>
      </c>
      <c r="L9" s="18" t="str">
        <f t="shared" si="2"/>
        <v>Extra Trees (randomTrees)</v>
      </c>
      <c r="M9" s="23">
        <v>0.0386</v>
      </c>
      <c r="N9" s="23">
        <v>0.0235</v>
      </c>
      <c r="O9" s="13">
        <f t="shared" si="3"/>
        <v>-39.11917098</v>
      </c>
      <c r="P9" s="23">
        <v>3497.0</v>
      </c>
      <c r="Q9" s="23">
        <v>9370.0</v>
      </c>
      <c r="R9" s="23">
        <v>2.342E-5</v>
      </c>
      <c r="S9" s="23">
        <v>1.909E-5</v>
      </c>
      <c r="T9" s="13">
        <f t="shared" ref="T9:T10" si="10">100*(S9-R9)/R9</f>
        <v>-18.48847139</v>
      </c>
      <c r="U9" s="23">
        <v>314897.0</v>
      </c>
      <c r="V9" s="23">
        <v>383579.0</v>
      </c>
      <c r="W9" s="23">
        <v>7940.26</v>
      </c>
      <c r="X9" s="23">
        <v>7946.18</v>
      </c>
      <c r="Y9" s="13">
        <f t="shared" si="5"/>
        <v>0.07455675255</v>
      </c>
      <c r="Z9" s="23">
        <v>4627872.0</v>
      </c>
      <c r="AA9" s="23">
        <v>1.3864303E7</v>
      </c>
      <c r="AB9" s="23">
        <v>280040.79</v>
      </c>
      <c r="AC9" s="23">
        <v>433062.62</v>
      </c>
      <c r="AD9" s="13">
        <f t="shared" si="6"/>
        <v>54.6426933</v>
      </c>
      <c r="AE9" s="40">
        <v>411645.239130435</v>
      </c>
      <c r="AF9" s="23">
        <v>76.0</v>
      </c>
      <c r="AG9" s="23">
        <v>24.0</v>
      </c>
      <c r="AH9" s="23">
        <f t="shared" si="7"/>
        <v>31.57894737</v>
      </c>
      <c r="AI9" s="23">
        <v>33.0</v>
      </c>
      <c r="AJ9" s="23">
        <v>43.0</v>
      </c>
      <c r="AK9" s="23">
        <v>1.5371565</v>
      </c>
      <c r="AL9" s="23">
        <v>1.2105022</v>
      </c>
      <c r="AM9" s="19">
        <f t="shared" si="8"/>
        <v>-21.25055582</v>
      </c>
      <c r="AN9" s="27">
        <v>0.947817</v>
      </c>
      <c r="AO9" s="23">
        <v>0.940223</v>
      </c>
      <c r="AP9" s="13">
        <f t="shared" si="9"/>
        <v>-0.8012095162</v>
      </c>
    </row>
    <row r="10">
      <c r="A10" s="11" t="s">
        <v>42</v>
      </c>
      <c r="B10" s="12" t="s">
        <v>43</v>
      </c>
      <c r="C10" s="13">
        <v>58.54</v>
      </c>
      <c r="D10" s="47">
        <v>56.668</v>
      </c>
      <c r="E10" s="13">
        <v>1.0</v>
      </c>
      <c r="F10" s="29">
        <v>38.71</v>
      </c>
      <c r="G10" s="13">
        <v>1.0</v>
      </c>
      <c r="H10" s="42">
        <v>53.75</v>
      </c>
      <c r="I10" s="13">
        <v>47.83</v>
      </c>
      <c r="J10" s="29">
        <v>37.79</v>
      </c>
      <c r="K10" s="47">
        <f t="shared" si="1"/>
        <v>56.668</v>
      </c>
      <c r="L10" s="18" t="str">
        <f t="shared" si="2"/>
        <v>Linear Regression</v>
      </c>
      <c r="M10" s="13">
        <v>0.0077</v>
      </c>
      <c r="N10" s="13">
        <v>0.0138</v>
      </c>
      <c r="O10" s="13">
        <f t="shared" si="3"/>
        <v>79.22077922</v>
      </c>
      <c r="P10" s="13">
        <v>37997.0</v>
      </c>
      <c r="Q10" s="13">
        <v>79445.0</v>
      </c>
      <c r="R10" s="13">
        <v>2.6784E-4</v>
      </c>
      <c r="S10" s="13">
        <v>1.9041E-4</v>
      </c>
      <c r="T10" s="13">
        <f t="shared" si="10"/>
        <v>-28.90905018</v>
      </c>
      <c r="U10" s="13">
        <v>6507384.0</v>
      </c>
      <c r="V10" s="13">
        <v>9639803.0</v>
      </c>
      <c r="W10" s="13">
        <v>20845.07</v>
      </c>
      <c r="X10" s="13">
        <v>18628.57</v>
      </c>
      <c r="Y10" s="13">
        <f t="shared" si="5"/>
        <v>-10.63320967</v>
      </c>
      <c r="Z10" s="13">
        <v>2.69982052E8</v>
      </c>
      <c r="AA10" s="13">
        <v>9.63306497E8</v>
      </c>
      <c r="AB10" s="13">
        <v>3650298.71</v>
      </c>
      <c r="AC10" s="13">
        <v>2003391.37</v>
      </c>
      <c r="AD10" s="13">
        <f t="shared" si="6"/>
        <v>-45.11705674</v>
      </c>
      <c r="AE10" s="33">
        <v>1458811.22335025</v>
      </c>
      <c r="AF10" s="13">
        <v>976.0</v>
      </c>
      <c r="AG10" s="13">
        <v>412.0</v>
      </c>
      <c r="AH10" s="13">
        <f t="shared" si="7"/>
        <v>42.21311475</v>
      </c>
      <c r="AI10" s="13">
        <v>494.0</v>
      </c>
      <c r="AJ10" s="13">
        <v>482.0</v>
      </c>
      <c r="AK10" s="39">
        <v>3.208785</v>
      </c>
      <c r="AL10" s="39">
        <v>1.4178317</v>
      </c>
      <c r="AM10" s="19">
        <f t="shared" si="8"/>
        <v>-55.81406358</v>
      </c>
      <c r="AN10" s="48">
        <v>1.650312</v>
      </c>
      <c r="AO10" s="39">
        <v>1.33625</v>
      </c>
      <c r="AP10" s="13">
        <f t="shared" si="9"/>
        <v>-19.03046212</v>
      </c>
    </row>
    <row r="11">
      <c r="A11" s="49" t="s">
        <v>44</v>
      </c>
      <c r="B11" s="22"/>
      <c r="C11" s="1"/>
      <c r="D11" s="1"/>
      <c r="E11" s="1"/>
      <c r="F11" s="1"/>
      <c r="G11" s="1"/>
      <c r="H11" s="1"/>
      <c r="I11" s="1"/>
      <c r="J11" s="1"/>
      <c r="K11" s="50">
        <f t="shared" si="1"/>
        <v>0</v>
      </c>
      <c r="L11" s="18" t="str">
        <f t="shared" si="2"/>
        <v>Linear Regression</v>
      </c>
      <c r="M11" s="51">
        <f t="shared" ref="M11:N11" si="11">average(M4:M10)</f>
        <v>0.02564285714</v>
      </c>
      <c r="N11" s="51">
        <f t="shared" si="11"/>
        <v>0.0297</v>
      </c>
      <c r="O11" s="52">
        <f>AVERAGE(O4:O10)</f>
        <v>23.4839065</v>
      </c>
      <c r="P11" s="1"/>
      <c r="Q11" s="1"/>
      <c r="R11" s="1"/>
      <c r="S11" s="1"/>
      <c r="T11" s="52">
        <f>AVERAGE(T4:T10)</f>
        <v>9.160288127</v>
      </c>
      <c r="U11" s="1"/>
      <c r="V11" s="1"/>
      <c r="W11" s="1"/>
      <c r="X11" s="1"/>
      <c r="Y11" s="52">
        <f>AVERAGE(Y4:Y10)</f>
        <v>26.40457549</v>
      </c>
      <c r="Z11" s="51">
        <f t="shared" ref="Z11:AA11" si="12">SUM(Z4:Z10)</f>
        <v>520565515</v>
      </c>
      <c r="AA11" s="51">
        <f t="shared" si="12"/>
        <v>1857291664</v>
      </c>
      <c r="AB11" s="1"/>
      <c r="AC11" s="1"/>
      <c r="AD11" s="52">
        <f>AVERAGE(AD4:AD10)</f>
        <v>26.54918058</v>
      </c>
      <c r="AE11" s="53">
        <f t="shared" ref="AE11:AG11" si="13">SUM(AE4:AE10)</f>
        <v>11342477.24</v>
      </c>
      <c r="AF11" s="51">
        <f t="shared" si="13"/>
        <v>3273</v>
      </c>
      <c r="AG11" s="51">
        <f t="shared" si="13"/>
        <v>1004</v>
      </c>
      <c r="AH11" s="23">
        <f t="shared" si="7"/>
        <v>30.67522151</v>
      </c>
      <c r="AI11" s="51">
        <f t="shared" ref="AI11:AJ11" si="14">SUM(AI4:AI10)</f>
        <v>1558</v>
      </c>
      <c r="AJ11" s="51">
        <f t="shared" si="14"/>
        <v>1715</v>
      </c>
      <c r="AK11" s="51">
        <v>0.9486405</v>
      </c>
      <c r="AL11" s="51">
        <v>0.88537506</v>
      </c>
      <c r="AM11" s="19">
        <f t="shared" si="8"/>
        <v>-6.669063781</v>
      </c>
      <c r="AN11" s="54">
        <v>0.0954602</v>
      </c>
      <c r="AO11" s="51">
        <v>0.0960541</v>
      </c>
      <c r="AP11" s="52">
        <f t="shared" si="9"/>
        <v>0.6221440977</v>
      </c>
    </row>
    <row r="12">
      <c r="A12" s="55" t="s">
        <v>45</v>
      </c>
      <c r="B12" s="56" t="s">
        <v>46</v>
      </c>
      <c r="C12" s="19">
        <v>82.37</v>
      </c>
      <c r="D12" s="57">
        <v>88.0</v>
      </c>
      <c r="E12" s="19">
        <v>1.0</v>
      </c>
      <c r="F12" s="58">
        <v>89.55</v>
      </c>
      <c r="G12" s="19">
        <v>1.0</v>
      </c>
      <c r="H12" s="59">
        <v>90.0</v>
      </c>
      <c r="I12" s="19">
        <v>78.6</v>
      </c>
      <c r="J12" s="60">
        <v>80.41</v>
      </c>
      <c r="K12" s="61">
        <f t="shared" si="1"/>
        <v>90</v>
      </c>
      <c r="L12" s="18" t="str">
        <f t="shared" si="2"/>
        <v>Extra Trees (randomTrees)</v>
      </c>
      <c r="M12" s="19">
        <v>0.0423</v>
      </c>
      <c r="N12" s="19">
        <v>0.0484</v>
      </c>
      <c r="O12" s="62">
        <f t="shared" ref="O12:O18" si="15">100*(N12-M12)/(M12)</f>
        <v>14.42080378</v>
      </c>
      <c r="P12" s="19">
        <v>60675.0</v>
      </c>
      <c r="Q12" s="19">
        <v>108940.0</v>
      </c>
      <c r="R12" s="19">
        <v>3.2854E-4</v>
      </c>
      <c r="S12" s="19">
        <v>2.4568E-4</v>
      </c>
      <c r="T12" s="62">
        <f t="shared" ref="T12:T18" si="16">100*(S12-R12)/R12</f>
        <v>-25.22067328</v>
      </c>
      <c r="U12" s="19">
        <v>2162678.0</v>
      </c>
      <c r="V12" s="19">
        <v>3411535.0</v>
      </c>
      <c r="W12" s="19">
        <v>6330.03</v>
      </c>
      <c r="X12" s="19">
        <v>13958.09</v>
      </c>
      <c r="Y12" s="62">
        <f t="shared" ref="Y12:Y18" si="17">100*(X12-W12)/W12</f>
        <v>120.505906</v>
      </c>
      <c r="Z12" s="19">
        <v>3.0162751E7</v>
      </c>
      <c r="AA12" s="19">
        <v>7.4295437E7</v>
      </c>
      <c r="AB12" s="19">
        <v>165856.42</v>
      </c>
      <c r="AC12" s="19">
        <v>353245.99</v>
      </c>
      <c r="AD12" s="62">
        <f t="shared" ref="AD12:AD18" si="18">100*(AC12-AB12)/AB12</f>
        <v>112.9830066</v>
      </c>
      <c r="AE12" s="63">
        <v>994509.614906832</v>
      </c>
      <c r="AF12" s="19">
        <v>559.0</v>
      </c>
      <c r="AG12" s="19">
        <v>139.0</v>
      </c>
      <c r="AH12" s="19">
        <f t="shared" si="7"/>
        <v>24.86583184</v>
      </c>
      <c r="AI12" s="19">
        <v>270.0</v>
      </c>
      <c r="AJ12" s="19">
        <v>289.0</v>
      </c>
      <c r="AK12" s="19">
        <v>0.19854122</v>
      </c>
      <c r="AL12" s="19">
        <v>0.3864301</v>
      </c>
      <c r="AM12" s="19">
        <f t="shared" si="8"/>
        <v>94.63469601</v>
      </c>
      <c r="AN12" s="64">
        <v>0.186697</v>
      </c>
      <c r="AO12" s="19">
        <v>0.3053668</v>
      </c>
      <c r="AP12" s="62">
        <f t="shared" si="9"/>
        <v>63.56277819</v>
      </c>
    </row>
    <row r="13">
      <c r="A13" s="65" t="s">
        <v>47</v>
      </c>
      <c r="B13" s="66" t="s">
        <v>48</v>
      </c>
      <c r="C13" s="13">
        <v>67.23</v>
      </c>
      <c r="D13" s="67">
        <v>70.78</v>
      </c>
      <c r="E13" s="13">
        <v>1.0</v>
      </c>
      <c r="F13" s="68">
        <v>60.53</v>
      </c>
      <c r="G13" s="13">
        <v>1.0</v>
      </c>
      <c r="H13" s="69">
        <v>58.76</v>
      </c>
      <c r="I13" s="13">
        <v>60.35</v>
      </c>
      <c r="J13" s="44">
        <v>62.43</v>
      </c>
      <c r="K13" s="67">
        <f t="shared" si="1"/>
        <v>70.78</v>
      </c>
      <c r="L13" s="18" t="str">
        <f t="shared" si="2"/>
        <v>Linear Regression</v>
      </c>
      <c r="M13" s="13">
        <v>0.0244</v>
      </c>
      <c r="N13" s="13">
        <v>0.029</v>
      </c>
      <c r="O13" s="13">
        <f t="shared" si="15"/>
        <v>18.85245902</v>
      </c>
      <c r="P13" s="13">
        <v>31813.0</v>
      </c>
      <c r="Q13" s="13">
        <v>76604.0</v>
      </c>
      <c r="R13" s="13">
        <v>2.3262E-4</v>
      </c>
      <c r="S13" s="13">
        <v>1.9785E-4</v>
      </c>
      <c r="T13" s="13">
        <f t="shared" si="16"/>
        <v>-14.94712406</v>
      </c>
      <c r="U13" s="13">
        <v>1116370.0</v>
      </c>
      <c r="V13" s="13">
        <v>2208051.0</v>
      </c>
      <c r="W13" s="13">
        <v>5594.06</v>
      </c>
      <c r="X13" s="13">
        <v>6629.67</v>
      </c>
      <c r="Y13" s="13">
        <f t="shared" si="17"/>
        <v>18.51267237</v>
      </c>
      <c r="Z13" s="13">
        <v>2.8452463E7</v>
      </c>
      <c r="AA13" s="13">
        <v>1.00566778E8</v>
      </c>
      <c r="AB13" s="13">
        <v>273323.48</v>
      </c>
      <c r="AC13" s="13">
        <v>328884.97</v>
      </c>
      <c r="AD13" s="13">
        <f t="shared" si="18"/>
        <v>20.32810719</v>
      </c>
      <c r="AE13" s="33">
        <v>971392.25</v>
      </c>
      <c r="AF13" s="13">
        <v>542.0</v>
      </c>
      <c r="AG13" s="13">
        <v>112.0</v>
      </c>
      <c r="AH13" s="13">
        <f t="shared" si="7"/>
        <v>20.66420664</v>
      </c>
      <c r="AI13" s="13">
        <v>207.0</v>
      </c>
      <c r="AJ13" s="13">
        <v>335.0</v>
      </c>
      <c r="AK13" s="13">
        <v>0.3562758</v>
      </c>
      <c r="AL13" s="13">
        <v>0.50324913</v>
      </c>
      <c r="AM13" s="19">
        <f t="shared" si="8"/>
        <v>41.25268402</v>
      </c>
      <c r="AN13" s="20">
        <v>0.329252</v>
      </c>
      <c r="AO13" s="13">
        <v>0.32763</v>
      </c>
      <c r="AP13" s="13">
        <f t="shared" si="9"/>
        <v>-0.4926317836</v>
      </c>
    </row>
    <row r="14">
      <c r="A14" s="70" t="s">
        <v>49</v>
      </c>
      <c r="B14" s="71">
        <v>4.28454304E8</v>
      </c>
      <c r="C14" s="23">
        <v>62.2</v>
      </c>
      <c r="D14" s="72">
        <v>87.4</v>
      </c>
      <c r="E14" s="23">
        <v>1.0</v>
      </c>
      <c r="F14" s="73">
        <v>68.31</v>
      </c>
      <c r="G14" s="23">
        <v>1.0</v>
      </c>
      <c r="H14" s="74">
        <v>66.96</v>
      </c>
      <c r="I14" s="23">
        <v>55.15</v>
      </c>
      <c r="J14" s="75">
        <v>67.92</v>
      </c>
      <c r="K14" s="72">
        <f t="shared" si="1"/>
        <v>87.4</v>
      </c>
      <c r="L14" s="18" t="str">
        <f t="shared" si="2"/>
        <v>Linear Regression</v>
      </c>
      <c r="M14" s="23">
        <v>0.0318</v>
      </c>
      <c r="N14" s="23">
        <v>0.0349</v>
      </c>
      <c r="O14" s="13">
        <f t="shared" si="15"/>
        <v>9.748427673</v>
      </c>
      <c r="P14" s="23">
        <v>85975.0</v>
      </c>
      <c r="Q14" s="23">
        <v>71570.0</v>
      </c>
      <c r="R14" s="23">
        <v>5.2185E-4</v>
      </c>
      <c r="S14" s="23">
        <v>1.6425E-4</v>
      </c>
      <c r="T14" s="13">
        <f t="shared" si="16"/>
        <v>-68.52543834</v>
      </c>
      <c r="U14" s="23">
        <v>2290052.0</v>
      </c>
      <c r="V14" s="23">
        <v>2074799.0</v>
      </c>
      <c r="W14" s="23">
        <v>5356.73</v>
      </c>
      <c r="X14" s="23">
        <v>7612.13</v>
      </c>
      <c r="Y14" s="13">
        <f t="shared" si="17"/>
        <v>42.10404482</v>
      </c>
      <c r="Z14" s="23">
        <v>7.4523738E7</v>
      </c>
      <c r="AA14" s="23">
        <v>1.00817804E8</v>
      </c>
      <c r="AB14" s="23">
        <v>306725.55</v>
      </c>
      <c r="AC14" s="23">
        <v>387362.38</v>
      </c>
      <c r="AD14" s="13">
        <f t="shared" si="18"/>
        <v>26.28957059</v>
      </c>
      <c r="AE14" s="40">
        <v>252641.45212766</v>
      </c>
      <c r="AF14" s="23">
        <v>713.0</v>
      </c>
      <c r="AG14" s="23">
        <v>214.0</v>
      </c>
      <c r="AH14" s="23">
        <f t="shared" si="7"/>
        <v>30.01402525</v>
      </c>
      <c r="AI14" s="23">
        <v>434.0</v>
      </c>
      <c r="AJ14" s="23">
        <v>279.0</v>
      </c>
      <c r="AK14" s="37">
        <v>1.2625305</v>
      </c>
      <c r="AL14" s="37">
        <v>1.6399194</v>
      </c>
      <c r="AM14" s="19">
        <f t="shared" si="8"/>
        <v>29.89146797</v>
      </c>
      <c r="AN14" s="27">
        <v>1.24758</v>
      </c>
      <c r="AO14" s="23">
        <v>1.430073</v>
      </c>
      <c r="AP14" s="13">
        <f t="shared" si="9"/>
        <v>14.62775934</v>
      </c>
    </row>
    <row r="15">
      <c r="A15" s="65" t="s">
        <v>50</v>
      </c>
      <c r="B15" s="76">
        <v>4.71677441E8</v>
      </c>
      <c r="C15" s="13">
        <v>60.18</v>
      </c>
      <c r="D15" s="77">
        <v>76.65</v>
      </c>
      <c r="E15" s="13">
        <v>1.0</v>
      </c>
      <c r="F15" s="78">
        <v>82.73</v>
      </c>
      <c r="G15" s="13">
        <v>1.0</v>
      </c>
      <c r="H15" s="79">
        <v>58.66</v>
      </c>
      <c r="I15" s="13">
        <v>58.64</v>
      </c>
      <c r="J15" s="80">
        <v>71.46</v>
      </c>
      <c r="K15" s="78">
        <f t="shared" si="1"/>
        <v>82.73</v>
      </c>
      <c r="L15" s="18" t="str">
        <f t="shared" si="2"/>
        <v>KNN</v>
      </c>
      <c r="M15" s="13">
        <v>0.0296</v>
      </c>
      <c r="N15" s="13">
        <v>0.0306</v>
      </c>
      <c r="O15" s="13">
        <f t="shared" si="15"/>
        <v>3.378378378</v>
      </c>
      <c r="P15" s="13">
        <v>14106.0</v>
      </c>
      <c r="Q15" s="13">
        <v>26075.0</v>
      </c>
      <c r="R15" s="13">
        <v>1.0115E-4</v>
      </c>
      <c r="S15" s="13">
        <v>5.513E-5</v>
      </c>
      <c r="T15" s="13">
        <f t="shared" si="16"/>
        <v>-45.49678695</v>
      </c>
      <c r="U15" s="13">
        <v>505478.0</v>
      </c>
      <c r="V15" s="13">
        <v>426661.0</v>
      </c>
      <c r="W15" s="13">
        <v>9518.11</v>
      </c>
      <c r="X15" s="13">
        <v>8608.04</v>
      </c>
      <c r="Y15" s="13">
        <f t="shared" si="17"/>
        <v>-9.561457054</v>
      </c>
      <c r="Z15" s="13">
        <v>1.3049002E7</v>
      </c>
      <c r="AA15" s="13">
        <v>1.3579584E7</v>
      </c>
      <c r="AB15" s="13">
        <v>349025.06</v>
      </c>
      <c r="AC15" s="13">
        <v>269619.15</v>
      </c>
      <c r="AD15" s="13">
        <f t="shared" si="18"/>
        <v>-22.75077612</v>
      </c>
      <c r="AE15" s="33">
        <v>2363726.06493506</v>
      </c>
      <c r="AF15" s="13">
        <v>121.0</v>
      </c>
      <c r="AG15" s="13">
        <v>25.0</v>
      </c>
      <c r="AH15" s="13">
        <f t="shared" si="7"/>
        <v>20.66115702</v>
      </c>
      <c r="AI15" s="13">
        <v>68.0</v>
      </c>
      <c r="AJ15" s="13">
        <v>53.0</v>
      </c>
      <c r="AK15" s="13">
        <v>0.17118898</v>
      </c>
      <c r="AL15" s="13">
        <v>0.17944424</v>
      </c>
      <c r="AM15" s="19">
        <f t="shared" si="8"/>
        <v>4.822308071</v>
      </c>
      <c r="AN15" s="20">
        <v>0.1219258</v>
      </c>
      <c r="AO15" s="13">
        <v>0.1081617</v>
      </c>
      <c r="AP15" s="13">
        <f t="shared" si="9"/>
        <v>-11.28891506</v>
      </c>
    </row>
    <row r="16">
      <c r="A16" s="70" t="s">
        <v>51</v>
      </c>
      <c r="B16" s="71">
        <v>2.3554832E7</v>
      </c>
      <c r="C16" s="23">
        <v>66.59</v>
      </c>
      <c r="D16" s="29">
        <v>38.64</v>
      </c>
      <c r="E16" s="23">
        <v>1.0</v>
      </c>
      <c r="F16" s="43">
        <v>24.61</v>
      </c>
      <c r="G16" s="23">
        <v>1.0</v>
      </c>
      <c r="H16" s="29">
        <v>36.16</v>
      </c>
      <c r="I16" s="23">
        <v>64.23</v>
      </c>
      <c r="J16" s="17">
        <v>33.52</v>
      </c>
      <c r="K16" s="38">
        <f t="shared" si="1"/>
        <v>38.64</v>
      </c>
      <c r="L16" s="18" t="str">
        <f t="shared" si="2"/>
        <v>Linear Regression</v>
      </c>
      <c r="M16" s="23">
        <v>0.0809</v>
      </c>
      <c r="N16" s="23">
        <v>0.086</v>
      </c>
      <c r="O16" s="13">
        <f t="shared" si="15"/>
        <v>6.30407911</v>
      </c>
      <c r="P16" s="23">
        <v>2572.0</v>
      </c>
      <c r="Q16" s="23">
        <v>3455.0</v>
      </c>
      <c r="R16" s="23">
        <v>1.25E-5</v>
      </c>
      <c r="S16" s="23">
        <v>7.74E-6</v>
      </c>
      <c r="T16" s="13">
        <f t="shared" si="16"/>
        <v>-38.08</v>
      </c>
      <c r="U16" s="23">
        <v>92780.0</v>
      </c>
      <c r="V16" s="23">
        <v>44055.0</v>
      </c>
      <c r="W16" s="23">
        <v>1147.58</v>
      </c>
      <c r="X16" s="23">
        <v>436.86</v>
      </c>
      <c r="Y16" s="13">
        <f t="shared" si="17"/>
        <v>-61.93206574</v>
      </c>
      <c r="Z16" s="23">
        <v>784982.0</v>
      </c>
      <c r="AA16" s="23">
        <v>646566.0</v>
      </c>
      <c r="AB16" s="23">
        <v>15490.1</v>
      </c>
      <c r="AC16" s="23">
        <v>5765.63</v>
      </c>
      <c r="AD16" s="13">
        <f t="shared" si="18"/>
        <v>-62.77861344</v>
      </c>
      <c r="AE16" s="40">
        <v>196710.635761589</v>
      </c>
      <c r="AF16" s="23">
        <v>496.0</v>
      </c>
      <c r="AG16" s="23">
        <v>118.0</v>
      </c>
      <c r="AH16" s="23">
        <f t="shared" si="7"/>
        <v>23.79032258</v>
      </c>
      <c r="AI16" s="23">
        <v>216.0</v>
      </c>
      <c r="AJ16" s="23">
        <v>280.0</v>
      </c>
      <c r="AK16" s="23">
        <v>0.0355258</v>
      </c>
      <c r="AL16" s="23">
        <v>0.0164155</v>
      </c>
      <c r="AM16" s="19">
        <f t="shared" si="8"/>
        <v>-53.79273655</v>
      </c>
      <c r="AN16" s="27">
        <v>0.0286538</v>
      </c>
      <c r="AO16" s="23">
        <v>0.0137413</v>
      </c>
      <c r="AP16" s="13">
        <f t="shared" si="9"/>
        <v>-52.04370799</v>
      </c>
    </row>
    <row r="17">
      <c r="A17" s="65" t="s">
        <v>52</v>
      </c>
      <c r="B17" s="76">
        <v>3.41190477E8</v>
      </c>
      <c r="C17" s="13">
        <v>69.8</v>
      </c>
      <c r="D17" s="81">
        <v>64.34</v>
      </c>
      <c r="E17" s="13">
        <v>1.0</v>
      </c>
      <c r="F17" s="42">
        <v>52.62</v>
      </c>
      <c r="G17" s="13">
        <v>1.0</v>
      </c>
      <c r="H17" s="42">
        <v>55.14</v>
      </c>
      <c r="I17" s="13">
        <v>60.86</v>
      </c>
      <c r="J17" s="82">
        <v>57.13</v>
      </c>
      <c r="K17" s="81">
        <f t="shared" si="1"/>
        <v>64.34</v>
      </c>
      <c r="L17" s="18" t="str">
        <f t="shared" si="2"/>
        <v>Linear Regression</v>
      </c>
      <c r="M17" s="13">
        <v>0.0742</v>
      </c>
      <c r="N17" s="13">
        <v>0.0836</v>
      </c>
      <c r="O17" s="13">
        <f t="shared" si="15"/>
        <v>12.66846361</v>
      </c>
      <c r="P17" s="13">
        <v>5546.0</v>
      </c>
      <c r="Q17" s="13">
        <v>11770.0</v>
      </c>
      <c r="R17" s="13">
        <v>3.946E-5</v>
      </c>
      <c r="S17" s="13">
        <v>2.19E-5</v>
      </c>
      <c r="T17" s="13">
        <f t="shared" si="16"/>
        <v>-44.50076026</v>
      </c>
      <c r="U17" s="13">
        <v>453175.0</v>
      </c>
      <c r="V17" s="13">
        <v>2173348.0</v>
      </c>
      <c r="W17" s="13">
        <v>4359.53</v>
      </c>
      <c r="X17" s="13">
        <v>6209.68</v>
      </c>
      <c r="Y17" s="13">
        <f t="shared" si="17"/>
        <v>42.4392079</v>
      </c>
      <c r="Z17" s="13">
        <v>7564103.0</v>
      </c>
      <c r="AA17" s="13">
        <v>4.7796298E7</v>
      </c>
      <c r="AB17" s="13">
        <v>87580.25</v>
      </c>
      <c r="AC17" s="13">
        <v>162748.16</v>
      </c>
      <c r="AD17" s="13">
        <f t="shared" si="18"/>
        <v>85.82746681</v>
      </c>
      <c r="AE17" s="33">
        <v>425475.487179487</v>
      </c>
      <c r="AF17" s="13">
        <v>549.0</v>
      </c>
      <c r="AG17" s="13">
        <v>38.0</v>
      </c>
      <c r="AH17" s="13">
        <f t="shared" si="7"/>
        <v>6.921675774</v>
      </c>
      <c r="AI17" s="13">
        <v>123.0</v>
      </c>
      <c r="AJ17" s="13">
        <v>426.0</v>
      </c>
      <c r="AK17" s="13">
        <v>0.223737</v>
      </c>
      <c r="AL17" s="13">
        <v>0.2953223034</v>
      </c>
      <c r="AM17" s="19">
        <f t="shared" si="8"/>
        <v>31.99529063</v>
      </c>
      <c r="AN17" s="20">
        <v>0.168199</v>
      </c>
      <c r="AO17" s="13">
        <v>0.267717</v>
      </c>
      <c r="AP17" s="13">
        <f t="shared" si="9"/>
        <v>59.16682025</v>
      </c>
    </row>
    <row r="18">
      <c r="A18" s="70" t="s">
        <v>53</v>
      </c>
      <c r="B18" s="71">
        <v>5.48384458E8</v>
      </c>
      <c r="C18" s="23">
        <v>87.96</v>
      </c>
      <c r="D18" s="83">
        <v>96.03</v>
      </c>
      <c r="E18" s="23">
        <v>1.0</v>
      </c>
      <c r="F18" s="84">
        <v>74.53</v>
      </c>
      <c r="G18" s="23">
        <v>1.0</v>
      </c>
      <c r="H18" s="85">
        <v>78.72</v>
      </c>
      <c r="I18" s="23">
        <v>86.51</v>
      </c>
      <c r="J18" s="86">
        <v>92.47</v>
      </c>
      <c r="K18" s="83">
        <f t="shared" si="1"/>
        <v>96.03</v>
      </c>
      <c r="L18" s="18" t="str">
        <f t="shared" si="2"/>
        <v>Linear Regression</v>
      </c>
      <c r="M18" s="23">
        <v>0.0421</v>
      </c>
      <c r="N18" s="23">
        <v>0.0428</v>
      </c>
      <c r="O18" s="13">
        <f t="shared" si="15"/>
        <v>1.662707838</v>
      </c>
      <c r="P18" s="23">
        <v>4376.0</v>
      </c>
      <c r="Q18" s="23">
        <v>9579.0</v>
      </c>
      <c r="R18" s="23">
        <v>2.151E-5</v>
      </c>
      <c r="S18" s="23">
        <v>1.705E-5</v>
      </c>
      <c r="T18" s="13">
        <f t="shared" si="16"/>
        <v>-20.73454207</v>
      </c>
      <c r="U18" s="23">
        <v>232258.0</v>
      </c>
      <c r="V18" s="23">
        <v>230685.0</v>
      </c>
      <c r="W18" s="23">
        <v>5726.72</v>
      </c>
      <c r="X18" s="23">
        <v>5754.07</v>
      </c>
      <c r="Y18" s="13">
        <f t="shared" si="17"/>
        <v>0.4775857734</v>
      </c>
      <c r="Z18" s="23">
        <v>3392818.0</v>
      </c>
      <c r="AA18" s="23">
        <v>4662650.0</v>
      </c>
      <c r="AB18" s="23">
        <v>139686.57</v>
      </c>
      <c r="AC18" s="23">
        <v>118202.47</v>
      </c>
      <c r="AD18" s="13">
        <f t="shared" si="18"/>
        <v>-15.38021873</v>
      </c>
      <c r="AE18" s="40">
        <v>1060488.79032258</v>
      </c>
      <c r="AF18" s="23">
        <v>99.0</v>
      </c>
      <c r="AG18" s="23">
        <v>22.0</v>
      </c>
      <c r="AH18" s="23">
        <f t="shared" si="7"/>
        <v>22.22222222</v>
      </c>
      <c r="AI18" s="23">
        <v>49.0</v>
      </c>
      <c r="AJ18" s="23">
        <v>50.0</v>
      </c>
      <c r="AK18" s="23">
        <v>0.1449388</v>
      </c>
      <c r="AL18" s="23">
        <v>0.1292761</v>
      </c>
      <c r="AM18" s="19">
        <f t="shared" si="8"/>
        <v>-10.80642312</v>
      </c>
      <c r="AN18" s="27">
        <v>0.1021421</v>
      </c>
      <c r="AO18" s="23">
        <v>0.09231292</v>
      </c>
      <c r="AP18" s="13">
        <f t="shared" si="9"/>
        <v>-9.623044758</v>
      </c>
    </row>
    <row r="19">
      <c r="A19" s="87" t="s">
        <v>54</v>
      </c>
      <c r="B19" s="66"/>
      <c r="C19" s="18"/>
      <c r="D19" s="18"/>
      <c r="E19" s="18"/>
      <c r="F19" s="18"/>
      <c r="G19" s="18"/>
      <c r="H19" s="18"/>
      <c r="I19" s="18"/>
      <c r="J19" s="18"/>
      <c r="K19" s="50">
        <f t="shared" si="1"/>
        <v>0</v>
      </c>
      <c r="L19" s="18" t="str">
        <f t="shared" si="2"/>
        <v>Linear Regression</v>
      </c>
      <c r="M19" s="51">
        <f t="shared" ref="M19:N19" si="19">average(M12:M18)</f>
        <v>0.04647142857</v>
      </c>
      <c r="N19" s="51">
        <f t="shared" si="19"/>
        <v>0.05075714286</v>
      </c>
      <c r="O19" s="52">
        <f>AVERAGE(O12:O18)</f>
        <v>9.576474202</v>
      </c>
      <c r="P19" s="18"/>
      <c r="Q19" s="18"/>
      <c r="R19" s="18"/>
      <c r="S19" s="18"/>
      <c r="T19" s="52">
        <f>AVERAGE(T12:T18)</f>
        <v>-36.786475</v>
      </c>
      <c r="U19" s="18"/>
      <c r="V19" s="18"/>
      <c r="W19" s="18"/>
      <c r="X19" s="18"/>
      <c r="Y19" s="52">
        <f>AVERAGE(Y12:Y18)</f>
        <v>21.79227058</v>
      </c>
      <c r="Z19" s="52">
        <f t="shared" ref="Z19:AA19" si="20">SUM(Z12:Z18)</f>
        <v>157929857</v>
      </c>
      <c r="AA19" s="52">
        <f t="shared" si="20"/>
        <v>342365117</v>
      </c>
      <c r="AB19" s="18"/>
      <c r="AC19" s="18"/>
      <c r="AD19" s="52">
        <f>AVERAGE(AD12:AD18)</f>
        <v>20.64550613</v>
      </c>
      <c r="AE19" s="88">
        <f t="shared" ref="AE19:AG19" si="21">sum(AE12:AE18)</f>
        <v>6264944.295</v>
      </c>
      <c r="AF19" s="52">
        <f t="shared" si="21"/>
        <v>3079</v>
      </c>
      <c r="AG19" s="52">
        <f t="shared" si="21"/>
        <v>668</v>
      </c>
      <c r="AH19" s="13">
        <f t="shared" si="7"/>
        <v>21.69535563</v>
      </c>
      <c r="AI19" s="52">
        <f t="shared" ref="AI19:AJ19" si="22">sum(AI12:AI18)</f>
        <v>1367</v>
      </c>
      <c r="AJ19" s="52">
        <f t="shared" si="22"/>
        <v>1712</v>
      </c>
      <c r="AK19" s="52">
        <v>0.4173906</v>
      </c>
      <c r="AL19" s="52">
        <v>0.5494176</v>
      </c>
      <c r="AM19" s="19">
        <f t="shared" si="8"/>
        <v>31.63152213</v>
      </c>
      <c r="AN19" s="89">
        <v>0.03424107</v>
      </c>
      <c r="AO19" s="52">
        <v>0.0354525</v>
      </c>
      <c r="AP19" s="52">
        <f t="shared" si="9"/>
        <v>3.537944346</v>
      </c>
    </row>
    <row r="20">
      <c r="A20" s="90" t="s">
        <v>55</v>
      </c>
    </row>
  </sheetData>
  <mergeCells count="15">
    <mergeCell ref="E2:F2"/>
    <mergeCell ref="G2:H2"/>
    <mergeCell ref="W2:Y2"/>
    <mergeCell ref="Z2:AA2"/>
    <mergeCell ref="AB2:AD2"/>
    <mergeCell ref="AI2:AJ2"/>
    <mergeCell ref="AK2:AM2"/>
    <mergeCell ref="AN2:AP2"/>
    <mergeCell ref="C2:D2"/>
    <mergeCell ref="I2:J2"/>
    <mergeCell ref="C1:L1"/>
    <mergeCell ref="M2:O2"/>
    <mergeCell ref="P2:Q2"/>
    <mergeCell ref="R2:T2"/>
    <mergeCell ref="U2:V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25"/>
    <col customWidth="1" min="6" max="6" width="19.5"/>
  </cols>
  <sheetData>
    <row r="1">
      <c r="A1" s="91" t="s">
        <v>56</v>
      </c>
      <c r="B1" s="92" t="s">
        <v>10</v>
      </c>
      <c r="C1" s="93"/>
      <c r="D1" s="92" t="s">
        <v>12</v>
      </c>
      <c r="E1" s="93"/>
      <c r="F1" s="93"/>
      <c r="G1" s="94" t="s">
        <v>57</v>
      </c>
      <c r="H1" s="95"/>
      <c r="I1" s="95"/>
      <c r="J1" s="96"/>
      <c r="K1" s="94" t="s">
        <v>8</v>
      </c>
      <c r="L1" s="95"/>
      <c r="M1" s="97" t="s">
        <v>58</v>
      </c>
      <c r="N1" s="95"/>
      <c r="O1" s="96"/>
      <c r="P1" s="1"/>
      <c r="Q1" s="1"/>
      <c r="R1" s="97" t="s">
        <v>59</v>
      </c>
      <c r="S1" s="95"/>
      <c r="T1" s="96"/>
      <c r="U1" s="98" t="s">
        <v>5</v>
      </c>
      <c r="V1" s="1"/>
      <c r="W1" s="96"/>
      <c r="X1" s="99" t="s">
        <v>7</v>
      </c>
      <c r="Y1" s="1"/>
      <c r="Z1" s="96"/>
    </row>
    <row r="2">
      <c r="A2" s="100" t="s">
        <v>15</v>
      </c>
      <c r="B2" s="92" t="s">
        <v>23</v>
      </c>
      <c r="C2" s="92" t="s">
        <v>24</v>
      </c>
      <c r="D2" s="101" t="s">
        <v>23</v>
      </c>
      <c r="E2" s="92" t="s">
        <v>24</v>
      </c>
      <c r="F2" s="92" t="s">
        <v>28</v>
      </c>
      <c r="G2" s="102" t="s">
        <v>23</v>
      </c>
      <c r="H2" s="99" t="s">
        <v>24</v>
      </c>
      <c r="I2" s="99" t="s">
        <v>60</v>
      </c>
      <c r="J2" s="103" t="s">
        <v>61</v>
      </c>
      <c r="K2" s="102" t="s">
        <v>26</v>
      </c>
      <c r="L2" s="99" t="s">
        <v>27</v>
      </c>
      <c r="M2" s="99" t="s">
        <v>23</v>
      </c>
      <c r="N2" s="99" t="s">
        <v>24</v>
      </c>
      <c r="O2" s="103" t="s">
        <v>61</v>
      </c>
      <c r="P2" s="99" t="s">
        <v>23</v>
      </c>
      <c r="Q2" s="99" t="s">
        <v>24</v>
      </c>
      <c r="R2" s="99" t="s">
        <v>23</v>
      </c>
      <c r="S2" s="99" t="s">
        <v>24</v>
      </c>
      <c r="T2" s="103" t="s">
        <v>61</v>
      </c>
      <c r="U2" s="99" t="s">
        <v>23</v>
      </c>
      <c r="V2" s="99" t="s">
        <v>24</v>
      </c>
      <c r="W2" s="103" t="s">
        <v>61</v>
      </c>
      <c r="X2" s="99" t="s">
        <v>23</v>
      </c>
      <c r="Y2" s="99" t="s">
        <v>24</v>
      </c>
      <c r="Z2" s="103" t="s">
        <v>61</v>
      </c>
    </row>
    <row r="3">
      <c r="A3" s="104" t="s">
        <v>62</v>
      </c>
      <c r="B3" s="105">
        <v>3.2552997E7</v>
      </c>
      <c r="C3" s="105">
        <v>5.8740813E7</v>
      </c>
      <c r="D3" s="105">
        <v>222.0</v>
      </c>
      <c r="E3" s="105">
        <v>100.0</v>
      </c>
      <c r="F3" s="105">
        <v>2913701.746</v>
      </c>
      <c r="G3" s="106">
        <v>0.05032605751</v>
      </c>
      <c r="H3" s="107">
        <v>0.2016020105</v>
      </c>
      <c r="I3" s="107">
        <v>300.5917024</v>
      </c>
      <c r="J3" s="9"/>
      <c r="K3" s="106">
        <v>3114872.0</v>
      </c>
      <c r="L3" s="107">
        <v>2553602.0</v>
      </c>
      <c r="M3" s="107">
        <v>0.004815508305</v>
      </c>
      <c r="N3" s="107">
        <v>0.008764115969</v>
      </c>
      <c r="O3" s="9"/>
      <c r="P3" s="107">
        <v>54392.0</v>
      </c>
      <c r="Q3" s="107">
        <v>154547.0</v>
      </c>
      <c r="R3" s="107">
        <v>8.408856855E-5</v>
      </c>
      <c r="S3" s="107">
        <v>5.304146185E-4</v>
      </c>
      <c r="T3" s="9"/>
      <c r="U3" s="107">
        <v>0.0321</v>
      </c>
      <c r="V3" s="107">
        <v>0.0422</v>
      </c>
      <c r="W3" s="9"/>
      <c r="X3" s="107">
        <v>3.5259E-4</v>
      </c>
      <c r="Y3" s="107">
        <v>3.5688E-4</v>
      </c>
      <c r="Z3" s="9"/>
    </row>
    <row r="4">
      <c r="A4" s="104" t="s">
        <v>63</v>
      </c>
      <c r="B4" s="105">
        <v>8.9583221E7</v>
      </c>
      <c r="C4" s="105">
        <v>4.47212842E8</v>
      </c>
      <c r="D4" s="105">
        <v>156.0</v>
      </c>
      <c r="E4" s="105">
        <v>158.0</v>
      </c>
      <c r="F4" s="105">
        <v>3009432.71</v>
      </c>
      <c r="G4" s="106">
        <v>0.1908171646</v>
      </c>
      <c r="H4" s="107">
        <v>0.9405297603</v>
      </c>
      <c r="I4" s="107">
        <v>392.8957845</v>
      </c>
      <c r="J4" s="9"/>
      <c r="K4" s="106">
        <v>3528190.0</v>
      </c>
      <c r="L4" s="107">
        <v>4116787.0</v>
      </c>
      <c r="M4" s="107">
        <v>0.007515237835</v>
      </c>
      <c r="N4" s="107">
        <v>0.008657981897</v>
      </c>
      <c r="O4" s="9"/>
      <c r="P4" s="107">
        <v>23597.0</v>
      </c>
      <c r="Q4" s="107">
        <v>60303.0</v>
      </c>
      <c r="R4" s="107">
        <v>5.026290171E-5</v>
      </c>
      <c r="S4" s="107">
        <v>4.15172478E-9</v>
      </c>
      <c r="T4" s="9"/>
      <c r="U4" s="107">
        <v>0.0192</v>
      </c>
      <c r="V4" s="107">
        <v>0.0208</v>
      </c>
      <c r="W4" s="9"/>
      <c r="X4" s="107">
        <v>1.7937E-4</v>
      </c>
      <c r="Y4" s="107">
        <v>1.4461E-4</v>
      </c>
      <c r="Z4" s="9"/>
    </row>
    <row r="5">
      <c r="A5" s="104" t="s">
        <v>64</v>
      </c>
      <c r="B5" s="105">
        <v>1.18591691E8</v>
      </c>
      <c r="C5" s="105">
        <v>2.26108806E8</v>
      </c>
      <c r="D5" s="105">
        <v>585.0</v>
      </c>
      <c r="E5" s="105">
        <v>687.0</v>
      </c>
      <c r="F5" s="108">
        <v>1271132.0</v>
      </c>
      <c r="G5" s="106">
        <v>0.1594805817</v>
      </c>
      <c r="H5" s="107">
        <v>0.2589227166</v>
      </c>
      <c r="I5" s="107">
        <v>62.35375735</v>
      </c>
      <c r="J5" s="9"/>
      <c r="K5" s="106">
        <v>2778518.0</v>
      </c>
      <c r="L5" s="107">
        <v>4921949.0</v>
      </c>
      <c r="M5" s="107">
        <v>0.003736515291</v>
      </c>
      <c r="N5" s="107">
        <v>0.005636244021</v>
      </c>
      <c r="O5" s="9"/>
      <c r="P5" s="107">
        <v>53018.0</v>
      </c>
      <c r="Q5" s="107">
        <v>101798.0</v>
      </c>
      <c r="R5" s="107">
        <v>7.129792489E-5</v>
      </c>
      <c r="S5" s="107">
        <v>7.443701029E-9</v>
      </c>
      <c r="T5" s="9"/>
      <c r="U5" s="107">
        <v>0.0226</v>
      </c>
      <c r="V5" s="107">
        <v>0.033</v>
      </c>
      <c r="W5" s="9"/>
      <c r="X5" s="107">
        <v>4.7769E-4</v>
      </c>
      <c r="Y5" s="107">
        <v>2.3682E-4</v>
      </c>
      <c r="Z5" s="9"/>
    </row>
    <row r="6">
      <c r="A6" s="104" t="s">
        <v>65</v>
      </c>
      <c r="B6" s="105">
        <v>3045208.0</v>
      </c>
      <c r="C6" s="105">
        <v>1.45149336E8</v>
      </c>
      <c r="D6" s="105">
        <v>44.0</v>
      </c>
      <c r="E6" s="105">
        <v>195.0</v>
      </c>
      <c r="F6" s="108">
        <v>1279495.0</v>
      </c>
      <c r="G6" s="106">
        <v>0.05409107313</v>
      </c>
      <c r="H6" s="107">
        <v>0.5817571829</v>
      </c>
      <c r="I6" s="107">
        <v>975.5142193</v>
      </c>
      <c r="J6" s="9"/>
      <c r="K6" s="106">
        <v>186501.0</v>
      </c>
      <c r="L6" s="107">
        <v>1182646.0</v>
      </c>
      <c r="M6" s="107">
        <v>0.003312758679</v>
      </c>
      <c r="N6" s="107">
        <v>0.004740034121</v>
      </c>
      <c r="O6" s="9"/>
      <c r="P6" s="107">
        <v>7088.0</v>
      </c>
      <c r="Q6" s="107">
        <v>39684.0</v>
      </c>
      <c r="R6" s="107">
        <v>1.259019175E-4</v>
      </c>
      <c r="S6" s="107">
        <v>1.799200276E-7</v>
      </c>
      <c r="T6" s="9"/>
      <c r="U6" s="107">
        <v>0.0215</v>
      </c>
      <c r="V6" s="107">
        <v>0.0205</v>
      </c>
      <c r="W6" s="9"/>
      <c r="X6" s="107">
        <v>3.785E-5</v>
      </c>
      <c r="Y6" s="107">
        <v>1.0602E-4</v>
      </c>
      <c r="Z6" s="9"/>
    </row>
    <row r="7">
      <c r="A7" s="104" t="s">
        <v>66</v>
      </c>
      <c r="B7" s="105">
        <v>2182474.0</v>
      </c>
      <c r="C7" s="105">
        <v>2909067.0</v>
      </c>
      <c r="D7" s="105">
        <v>24.0</v>
      </c>
      <c r="E7" s="105">
        <v>50.0</v>
      </c>
      <c r="F7" s="108">
        <v>998259.0</v>
      </c>
      <c r="G7" s="106">
        <v>0.09109499083</v>
      </c>
      <c r="H7" s="107">
        <v>0.05828279613</v>
      </c>
      <c r="I7" s="107">
        <v>-36.01975739</v>
      </c>
      <c r="J7" s="9"/>
      <c r="K7" s="106">
        <v>72508.0</v>
      </c>
      <c r="L7" s="107">
        <v>112066.0</v>
      </c>
      <c r="M7" s="107">
        <v>0.003026434952</v>
      </c>
      <c r="N7" s="107">
        <v>0.002245228395</v>
      </c>
      <c r="O7" s="9"/>
      <c r="P7" s="107">
        <v>0.0</v>
      </c>
      <c r="Q7" s="107">
        <v>0.0</v>
      </c>
      <c r="R7" s="107">
        <v>0.0</v>
      </c>
      <c r="S7" s="107">
        <v>0.0</v>
      </c>
      <c r="T7" s="9"/>
      <c r="U7" s="107">
        <v>0.0378</v>
      </c>
      <c r="V7" s="107">
        <v>0.0541</v>
      </c>
      <c r="W7" s="9"/>
      <c r="X7" s="107">
        <v>0.0</v>
      </c>
      <c r="Y7" s="107">
        <v>0.0</v>
      </c>
      <c r="Z7" s="9"/>
    </row>
    <row r="8">
      <c r="A8" s="104" t="s">
        <v>67</v>
      </c>
      <c r="B8" s="105">
        <v>4627872.0</v>
      </c>
      <c r="C8" s="105">
        <v>1.3864303E7</v>
      </c>
      <c r="D8" s="105">
        <v>33.0</v>
      </c>
      <c r="E8" s="105">
        <v>43.0</v>
      </c>
      <c r="F8" s="108">
        <v>411645.0</v>
      </c>
      <c r="G8" s="106">
        <v>0.3406781668</v>
      </c>
      <c r="H8" s="107">
        <v>0.7832609745</v>
      </c>
      <c r="I8" s="107">
        <v>129.9122899</v>
      </c>
      <c r="J8" s="9"/>
      <c r="K8" s="106">
        <v>314897.0</v>
      </c>
      <c r="L8" s="107">
        <v>383579.0</v>
      </c>
      <c r="M8" s="107">
        <v>0.02318096367</v>
      </c>
      <c r="N8" s="107">
        <v>0.02167021749</v>
      </c>
      <c r="O8" s="9"/>
      <c r="P8" s="107">
        <v>3497.0</v>
      </c>
      <c r="Q8" s="107">
        <v>9370.0</v>
      </c>
      <c r="R8" s="107">
        <v>2.574296673E-4</v>
      </c>
      <c r="S8" s="107">
        <v>7.757401059E-8</v>
      </c>
      <c r="T8" s="9"/>
      <c r="U8" s="107">
        <v>0.0386</v>
      </c>
      <c r="V8" s="107">
        <v>0.0235</v>
      </c>
      <c r="W8" s="9"/>
      <c r="X8" s="107">
        <v>2.342E-5</v>
      </c>
      <c r="Y8" s="107">
        <v>1.909E-5</v>
      </c>
      <c r="Z8" s="9"/>
    </row>
    <row r="9">
      <c r="A9" s="104" t="s">
        <v>68</v>
      </c>
      <c r="B9" s="105">
        <v>2.69982052E8</v>
      </c>
      <c r="C9" s="105">
        <v>9.63306497E8</v>
      </c>
      <c r="D9" s="105">
        <v>494.0</v>
      </c>
      <c r="E9" s="105">
        <v>482.0</v>
      </c>
      <c r="F9" s="108">
        <v>1458811.0</v>
      </c>
      <c r="G9" s="106">
        <v>0.3746354317</v>
      </c>
      <c r="H9" s="107">
        <v>1.369993022</v>
      </c>
      <c r="I9" s="107">
        <v>265.686987</v>
      </c>
      <c r="J9" s="9"/>
      <c r="K9" s="106">
        <v>6507384.0</v>
      </c>
      <c r="L9" s="107">
        <v>9639803.0</v>
      </c>
      <c r="M9" s="107">
        <v>0.00902984697</v>
      </c>
      <c r="N9" s="107">
        <v>0.0137095129</v>
      </c>
      <c r="O9" s="9"/>
      <c r="P9" s="107">
        <v>37997.0</v>
      </c>
      <c r="Q9" s="107">
        <v>79445.0</v>
      </c>
      <c r="R9" s="107">
        <v>5.272581045E-5</v>
      </c>
      <c r="S9" s="107">
        <v>1.266461452E-9</v>
      </c>
      <c r="T9" s="9"/>
      <c r="U9" s="107">
        <v>0.0077</v>
      </c>
      <c r="V9" s="107">
        <v>0.0138</v>
      </c>
      <c r="W9" s="9"/>
      <c r="X9" s="107">
        <v>2.6784E-4</v>
      </c>
      <c r="Y9" s="107">
        <v>1.9041E-4</v>
      </c>
      <c r="Z9" s="9"/>
    </row>
    <row r="10">
      <c r="A10" s="109" t="s">
        <v>44</v>
      </c>
      <c r="B10" s="105">
        <v>5.20565515E8</v>
      </c>
      <c r="C10" s="105">
        <v>1.857291664E9</v>
      </c>
      <c r="D10" s="105">
        <v>1558.0</v>
      </c>
      <c r="E10" s="105">
        <v>1715.0</v>
      </c>
      <c r="F10" s="108">
        <v>1.1342477E7</v>
      </c>
      <c r="G10" s="106">
        <v>0.0294577807</v>
      </c>
      <c r="H10" s="107">
        <v>0.09547904544</v>
      </c>
      <c r="I10" s="107">
        <v>224.1216519</v>
      </c>
      <c r="J10" s="110">
        <v>0.02471699717</v>
      </c>
      <c r="K10" s="111"/>
      <c r="L10" s="1"/>
      <c r="M10" s="107">
        <v>0.0</v>
      </c>
      <c r="N10" s="107">
        <v>0.0</v>
      </c>
      <c r="O10" s="110">
        <v>0.1207798354</v>
      </c>
      <c r="P10" s="1"/>
      <c r="Q10" s="1"/>
      <c r="R10" s="107">
        <v>0.0</v>
      </c>
      <c r="S10" s="112" t="e">
        <v>#DIV/0!</v>
      </c>
      <c r="T10" s="110">
        <v>0.8548907556</v>
      </c>
      <c r="U10" s="107">
        <v>0.02564285714</v>
      </c>
      <c r="V10" s="107">
        <v>0.0297</v>
      </c>
      <c r="W10" s="110">
        <v>0.3349928689</v>
      </c>
      <c r="X10" s="1"/>
      <c r="Y10" s="1"/>
      <c r="Z10" s="110">
        <v>0.3165492808</v>
      </c>
    </row>
    <row r="11">
      <c r="A11" s="113" t="s">
        <v>69</v>
      </c>
      <c r="B11" s="105">
        <v>3.0162751E7</v>
      </c>
      <c r="C11" s="105">
        <v>7.4295437E7</v>
      </c>
      <c r="D11" s="105">
        <v>270.0</v>
      </c>
      <c r="E11" s="105">
        <v>289.0</v>
      </c>
      <c r="F11" s="108">
        <v>994510.0</v>
      </c>
      <c r="G11" s="106">
        <v>0.112330631</v>
      </c>
      <c r="H11" s="107">
        <v>0.2584968841</v>
      </c>
      <c r="I11" s="1"/>
      <c r="J11" s="9"/>
      <c r="K11" s="106">
        <v>2162678.0</v>
      </c>
      <c r="L11" s="107">
        <v>3411535.0</v>
      </c>
      <c r="M11" s="107">
        <v>0.008054138842</v>
      </c>
      <c r="N11" s="107">
        <v>0.01186978909</v>
      </c>
      <c r="O11" s="9"/>
      <c r="P11" s="107">
        <v>60675.0</v>
      </c>
      <c r="Q11" s="107">
        <v>108940.0</v>
      </c>
      <c r="R11" s="107">
        <v>2.259628453E-4</v>
      </c>
      <c r="S11" s="107">
        <v>1.476541566E-8</v>
      </c>
      <c r="T11" s="9"/>
      <c r="U11" s="107">
        <v>0.0423</v>
      </c>
      <c r="V11" s="107">
        <v>0.0484</v>
      </c>
      <c r="W11" s="9"/>
      <c r="X11" s="107">
        <v>3.2854E-4</v>
      </c>
      <c r="Y11" s="107">
        <v>2.4568E-4</v>
      </c>
      <c r="Z11" s="9"/>
    </row>
    <row r="12">
      <c r="A12" s="113" t="s">
        <v>70</v>
      </c>
      <c r="B12" s="105">
        <v>2.8452463E7</v>
      </c>
      <c r="C12" s="105">
        <v>1.00566778E8</v>
      </c>
      <c r="D12" s="105">
        <v>207.0</v>
      </c>
      <c r="E12" s="105">
        <v>335.0</v>
      </c>
      <c r="F12" s="108">
        <v>971392.0</v>
      </c>
      <c r="G12" s="106">
        <v>0.1414994942</v>
      </c>
      <c r="H12" s="107">
        <v>0.3090402845</v>
      </c>
      <c r="I12" s="1"/>
      <c r="J12" s="9"/>
      <c r="K12" s="106">
        <v>1116370.0</v>
      </c>
      <c r="L12" s="107">
        <v>2208051.0</v>
      </c>
      <c r="M12" s="107">
        <v>0.005551919719</v>
      </c>
      <c r="N12" s="107">
        <v>0.006785309451</v>
      </c>
      <c r="O12" s="9"/>
      <c r="P12" s="107">
        <v>31813.0</v>
      </c>
      <c r="Q12" s="107">
        <v>76604.0</v>
      </c>
      <c r="R12" s="107">
        <v>1.58212082E-4</v>
      </c>
      <c r="S12" s="107">
        <v>3.107664954E-8</v>
      </c>
      <c r="T12" s="9"/>
      <c r="U12" s="107">
        <v>0.0244</v>
      </c>
      <c r="V12" s="107">
        <v>0.029</v>
      </c>
      <c r="W12" s="9"/>
      <c r="X12" s="107">
        <v>2.3262E-4</v>
      </c>
      <c r="Y12" s="107">
        <v>1.9785E-4</v>
      </c>
      <c r="Z12" s="9"/>
    </row>
    <row r="13">
      <c r="A13" s="113" t="s">
        <v>71</v>
      </c>
      <c r="B13" s="105">
        <v>7.4523738E7</v>
      </c>
      <c r="C13" s="105">
        <v>1.00817804E8</v>
      </c>
      <c r="D13" s="105">
        <v>434.0</v>
      </c>
      <c r="E13" s="105">
        <v>279.0</v>
      </c>
      <c r="F13" s="108">
        <v>252641.0</v>
      </c>
      <c r="G13" s="106">
        <v>0.6796734288</v>
      </c>
      <c r="H13" s="107">
        <v>1.430304224</v>
      </c>
      <c r="I13" s="1"/>
      <c r="J13" s="9"/>
      <c r="K13" s="106">
        <v>2290052.0</v>
      </c>
      <c r="L13" s="107">
        <v>2074799.0</v>
      </c>
      <c r="M13" s="107">
        <v>0.02088579474</v>
      </c>
      <c r="N13" s="107">
        <v>0.02943521537</v>
      </c>
      <c r="O13" s="9"/>
      <c r="P13" s="107">
        <v>85975.0</v>
      </c>
      <c r="Q13" s="107">
        <v>71570.0</v>
      </c>
      <c r="R13" s="107">
        <v>7.84111541E-4</v>
      </c>
      <c r="S13" s="107">
        <v>1.506293643E-8</v>
      </c>
      <c r="T13" s="9"/>
      <c r="U13" s="107">
        <v>0.0318</v>
      </c>
      <c r="V13" s="107">
        <v>0.0349</v>
      </c>
      <c r="W13" s="9"/>
      <c r="X13" s="107">
        <v>5.2185E-4</v>
      </c>
      <c r="Y13" s="107">
        <v>1.6425E-4</v>
      </c>
      <c r="Z13" s="9"/>
    </row>
    <row r="14">
      <c r="A14" s="113" t="s">
        <v>72</v>
      </c>
      <c r="B14" s="105">
        <v>1.3049002E7</v>
      </c>
      <c r="C14" s="105">
        <v>1.3579584E7</v>
      </c>
      <c r="D14" s="105">
        <v>68.0</v>
      </c>
      <c r="E14" s="105">
        <v>53.0</v>
      </c>
      <c r="F14" s="108">
        <v>2363726.0</v>
      </c>
      <c r="G14" s="106">
        <v>0.08118414865</v>
      </c>
      <c r="H14" s="107">
        <v>0.1083960489</v>
      </c>
      <c r="I14" s="1"/>
      <c r="J14" s="9"/>
      <c r="K14" s="106">
        <v>505478.0</v>
      </c>
      <c r="L14" s="107">
        <v>426661.0</v>
      </c>
      <c r="M14" s="107">
        <v>0.00314482296</v>
      </c>
      <c r="N14" s="107">
        <v>0.00340572779</v>
      </c>
      <c r="O14" s="9"/>
      <c r="P14" s="107">
        <v>14106.0</v>
      </c>
      <c r="Q14" s="107">
        <v>26075.0</v>
      </c>
      <c r="R14" s="107">
        <v>8.776024411E-5</v>
      </c>
      <c r="S14" s="107">
        <v>1.209035664E-7</v>
      </c>
      <c r="T14" s="9"/>
      <c r="U14" s="107">
        <v>0.0296</v>
      </c>
      <c r="V14" s="107">
        <v>0.0306</v>
      </c>
      <c r="W14" s="9"/>
      <c r="X14" s="107">
        <v>1.0115E-4</v>
      </c>
      <c r="Y14" s="107">
        <v>5.513E-5</v>
      </c>
      <c r="Z14" s="9"/>
    </row>
    <row r="15">
      <c r="A15" s="113" t="s">
        <v>73</v>
      </c>
      <c r="B15" s="105">
        <v>784982.0</v>
      </c>
      <c r="C15" s="105">
        <v>646566.0</v>
      </c>
      <c r="D15" s="105">
        <v>216.0</v>
      </c>
      <c r="E15" s="105">
        <v>280.0</v>
      </c>
      <c r="F15" s="108">
        <v>196711.0</v>
      </c>
      <c r="G15" s="106">
        <v>0.01847473021</v>
      </c>
      <c r="H15" s="107">
        <v>0.01173888883</v>
      </c>
      <c r="I15" s="1"/>
      <c r="J15" s="9"/>
      <c r="K15" s="106">
        <v>92780.0</v>
      </c>
      <c r="L15" s="107">
        <v>44055.0</v>
      </c>
      <c r="M15" s="107">
        <v>0.002183598438</v>
      </c>
      <c r="N15" s="107">
        <v>7.998514422E-4</v>
      </c>
      <c r="O15" s="9"/>
      <c r="P15" s="107">
        <v>2572.0</v>
      </c>
      <c r="Q15" s="107">
        <v>3455.0</v>
      </c>
      <c r="R15" s="107">
        <v>6.053260598E-5</v>
      </c>
      <c r="S15" s="107">
        <v>8.452758828E-7</v>
      </c>
      <c r="T15" s="9"/>
      <c r="U15" s="107">
        <v>0.0809</v>
      </c>
      <c r="V15" s="107">
        <v>0.086</v>
      </c>
      <c r="W15" s="9"/>
      <c r="X15" s="107">
        <v>1.25E-5</v>
      </c>
      <c r="Y15" s="107">
        <v>7.74E-6</v>
      </c>
      <c r="Z15" s="9"/>
    </row>
    <row r="16">
      <c r="A16" s="113" t="s">
        <v>74</v>
      </c>
      <c r="B16" s="105">
        <v>7564103.0</v>
      </c>
      <c r="C16" s="105">
        <v>4.7796298E7</v>
      </c>
      <c r="D16" s="105">
        <v>123.0</v>
      </c>
      <c r="E16" s="105">
        <v>426.0</v>
      </c>
      <c r="F16" s="108">
        <v>425475.0</v>
      </c>
      <c r="G16" s="106">
        <v>0.1445365813</v>
      </c>
      <c r="H16" s="107">
        <v>0.2636999921</v>
      </c>
      <c r="I16" s="1"/>
      <c r="J16" s="9"/>
      <c r="K16" s="106">
        <v>453175.0</v>
      </c>
      <c r="L16" s="107">
        <v>2173348.0</v>
      </c>
      <c r="M16" s="107">
        <v>0.008659369822</v>
      </c>
      <c r="N16" s="107">
        <v>0.01199071632</v>
      </c>
      <c r="O16" s="9"/>
      <c r="P16" s="107">
        <v>5546.0</v>
      </c>
      <c r="Q16" s="107">
        <v>11770.0</v>
      </c>
      <c r="R16" s="107">
        <v>1.059742153E-4</v>
      </c>
      <c r="S16" s="107">
        <v>1.195036713E-8</v>
      </c>
      <c r="T16" s="9"/>
      <c r="U16" s="107">
        <v>0.0742</v>
      </c>
      <c r="V16" s="107">
        <v>0.0836</v>
      </c>
      <c r="W16" s="9"/>
      <c r="X16" s="107">
        <v>3.946E-5</v>
      </c>
      <c r="Y16" s="107">
        <v>2.19E-5</v>
      </c>
      <c r="Z16" s="9"/>
    </row>
    <row r="17">
      <c r="A17" s="113" t="s">
        <v>75</v>
      </c>
      <c r="B17" s="105">
        <v>3392818.0</v>
      </c>
      <c r="C17" s="105">
        <v>4662650.0</v>
      </c>
      <c r="D17" s="105">
        <v>49.0</v>
      </c>
      <c r="E17" s="105">
        <v>50.0</v>
      </c>
      <c r="F17" s="108">
        <v>1060489.0</v>
      </c>
      <c r="G17" s="106">
        <v>0.06529176386</v>
      </c>
      <c r="H17" s="107">
        <v>0.08793397993</v>
      </c>
      <c r="I17" s="1"/>
      <c r="J17" s="9"/>
      <c r="K17" s="106">
        <v>232258.0</v>
      </c>
      <c r="L17" s="107">
        <v>230685.0</v>
      </c>
      <c r="M17" s="107">
        <v>0.004469598573</v>
      </c>
      <c r="N17" s="107">
        <v>0.004350541036</v>
      </c>
      <c r="O17" s="9"/>
      <c r="P17" s="107">
        <v>4376.0</v>
      </c>
      <c r="Q17" s="107">
        <v>9579.0</v>
      </c>
      <c r="R17" s="107">
        <v>8.421222672E-5</v>
      </c>
      <c r="S17" s="107">
        <v>1.787846116E-7</v>
      </c>
      <c r="T17" s="9"/>
      <c r="U17" s="107">
        <v>0.0421</v>
      </c>
      <c r="V17" s="107">
        <v>0.0428</v>
      </c>
      <c r="W17" s="9"/>
      <c r="X17" s="107">
        <v>2.151E-5</v>
      </c>
      <c r="Y17" s="107">
        <v>1.705E-5</v>
      </c>
      <c r="Z17" s="9"/>
    </row>
    <row r="18">
      <c r="A18" s="114" t="s">
        <v>54</v>
      </c>
      <c r="B18" s="105">
        <v>1.57929857E8</v>
      </c>
      <c r="C18" s="105">
        <v>3.42365117E8</v>
      </c>
      <c r="D18" s="105">
        <v>1367.0</v>
      </c>
      <c r="E18" s="105">
        <v>1712.0</v>
      </c>
      <c r="F18" s="108">
        <v>6264944.0</v>
      </c>
      <c r="G18" s="106">
        <v>0.01844074718</v>
      </c>
      <c r="H18" s="107">
        <v>0.03192041541</v>
      </c>
      <c r="I18" s="107">
        <v>73.09719123</v>
      </c>
      <c r="J18" s="110">
        <v>0.1278001588</v>
      </c>
      <c r="K18" s="111"/>
      <c r="L18" s="1"/>
      <c r="M18" s="107">
        <v>0.0</v>
      </c>
      <c r="N18" s="107">
        <v>0.0</v>
      </c>
      <c r="O18" s="110">
        <v>0.1266032789</v>
      </c>
      <c r="P18" s="1"/>
      <c r="Q18" s="1"/>
      <c r="R18" s="107">
        <v>0.0</v>
      </c>
      <c r="S18" s="112" t="e">
        <v>#DIV/0!</v>
      </c>
      <c r="T18" s="110">
        <v>0.06882849424</v>
      </c>
      <c r="U18" s="107">
        <v>0.04647142857</v>
      </c>
      <c r="V18" s="107">
        <v>0.05075714286</v>
      </c>
      <c r="W18" s="110">
        <v>0.009667789888</v>
      </c>
      <c r="X18" s="1"/>
      <c r="Y18" s="1"/>
      <c r="Z18" s="110">
        <v>0.1517610007</v>
      </c>
    </row>
    <row r="19">
      <c r="A19" s="100" t="s">
        <v>55</v>
      </c>
      <c r="B19" s="115"/>
      <c r="C19" s="115"/>
      <c r="D19" s="116">
        <v>0.1397</v>
      </c>
      <c r="E19" s="116">
        <v>0.0018</v>
      </c>
      <c r="F19" s="116">
        <v>0.8105</v>
      </c>
      <c r="G19" s="117">
        <v>0.0</v>
      </c>
      <c r="H19" s="118">
        <v>2.991159238</v>
      </c>
      <c r="I19" s="119"/>
      <c r="J19" s="120"/>
      <c r="K19" s="121"/>
      <c r="L19" s="122"/>
      <c r="M19" s="107">
        <v>0.0</v>
      </c>
      <c r="N19" s="118">
        <v>0.0</v>
      </c>
      <c r="O19" s="120"/>
      <c r="P19" s="123"/>
      <c r="Q19" s="123"/>
      <c r="R19" s="124">
        <v>0.0</v>
      </c>
      <c r="S19" s="125" t="e">
        <v>#DIV/0!</v>
      </c>
      <c r="T19" s="120"/>
      <c r="U19" s="1"/>
      <c r="V19" s="1"/>
      <c r="W19" s="120"/>
      <c r="X19" s="123"/>
      <c r="Y19" s="123"/>
      <c r="Z19" s="12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7" t="s">
        <v>76</v>
      </c>
      <c r="C22" s="1"/>
      <c r="D22" s="1"/>
      <c r="E22" s="1"/>
      <c r="F22" s="1"/>
      <c r="G22" s="1"/>
      <c r="H22" s="7" t="s">
        <v>76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26" t="s">
        <v>77</v>
      </c>
      <c r="B23" s="112" t="s">
        <v>23</v>
      </c>
      <c r="C23" s="112" t="s">
        <v>24</v>
      </c>
      <c r="D23" s="112" t="s">
        <v>78</v>
      </c>
      <c r="E23" s="1"/>
      <c r="F23" s="1"/>
      <c r="G23" s="99" t="s">
        <v>15</v>
      </c>
      <c r="H23" s="99" t="s">
        <v>23</v>
      </c>
      <c r="I23" s="99" t="s">
        <v>24</v>
      </c>
      <c r="J23" s="112" t="s">
        <v>78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7" t="s">
        <v>79</v>
      </c>
      <c r="W23" s="1"/>
      <c r="X23" s="1"/>
      <c r="Y23" s="1"/>
      <c r="Z23" s="1"/>
    </row>
    <row r="24">
      <c r="A24" s="126" t="s">
        <v>80</v>
      </c>
      <c r="B24" s="127">
        <v>0.029</v>
      </c>
      <c r="C24" s="127">
        <v>0.095</v>
      </c>
      <c r="D24" s="128">
        <v>2.24</v>
      </c>
      <c r="E24" s="1"/>
      <c r="F24" s="1"/>
      <c r="G24" s="99" t="s">
        <v>62</v>
      </c>
      <c r="H24" s="129">
        <v>0.05</v>
      </c>
      <c r="I24" s="129">
        <v>0.202</v>
      </c>
      <c r="J24" s="124">
        <v>3.01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12" t="s">
        <v>77</v>
      </c>
      <c r="V24" s="112" t="s">
        <v>23</v>
      </c>
      <c r="W24" s="112" t="s">
        <v>24</v>
      </c>
      <c r="X24" s="112" t="s">
        <v>78</v>
      </c>
      <c r="Y24" s="1"/>
      <c r="Z24" s="1"/>
    </row>
    <row r="25">
      <c r="A25" s="126" t="s">
        <v>81</v>
      </c>
      <c r="B25" s="127">
        <v>0.018</v>
      </c>
      <c r="C25" s="127">
        <v>0.032</v>
      </c>
      <c r="D25" s="128">
        <v>0.73</v>
      </c>
      <c r="E25" s="1"/>
      <c r="F25" s="1"/>
      <c r="G25" s="99" t="s">
        <v>63</v>
      </c>
      <c r="H25" s="129">
        <v>0.191</v>
      </c>
      <c r="I25" s="129">
        <v>0.941</v>
      </c>
      <c r="J25" s="124">
        <v>3.93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12" t="s">
        <v>80</v>
      </c>
      <c r="V25" s="127">
        <v>0.026</v>
      </c>
      <c r="W25" s="127">
        <v>0.03</v>
      </c>
      <c r="X25" s="128">
        <v>0.16</v>
      </c>
      <c r="Y25" s="1"/>
      <c r="Z25" s="1"/>
    </row>
    <row r="26">
      <c r="A26" s="1"/>
      <c r="B26" s="1"/>
      <c r="C26" s="1"/>
      <c r="D26" s="1"/>
      <c r="E26" s="1"/>
      <c r="F26" s="1"/>
      <c r="G26" s="99" t="s">
        <v>64</v>
      </c>
      <c r="H26" s="129">
        <v>0.159</v>
      </c>
      <c r="I26" s="129">
        <v>0.259</v>
      </c>
      <c r="J26" s="124">
        <v>0.62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12" t="s">
        <v>81</v>
      </c>
      <c r="V26" s="127">
        <v>0.046</v>
      </c>
      <c r="W26" s="127">
        <v>0.051</v>
      </c>
      <c r="X26" s="128">
        <v>0.09</v>
      </c>
      <c r="Y26" s="1"/>
      <c r="Z26" s="1"/>
    </row>
    <row r="27">
      <c r="A27" s="1"/>
      <c r="B27" s="1"/>
      <c r="C27" s="1"/>
      <c r="D27" s="1"/>
      <c r="E27" s="1"/>
      <c r="F27" s="1"/>
      <c r="G27" s="99" t="s">
        <v>65</v>
      </c>
      <c r="H27" s="129">
        <v>0.054</v>
      </c>
      <c r="I27" s="129">
        <v>0.582</v>
      </c>
      <c r="J27" s="124">
        <v>9.76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99" t="s">
        <v>66</v>
      </c>
      <c r="H28" s="129">
        <v>0.091</v>
      </c>
      <c r="I28" s="129">
        <v>0.058</v>
      </c>
      <c r="J28" s="124">
        <v>-0.36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99" t="s">
        <v>67</v>
      </c>
      <c r="H29" s="129">
        <v>0.341</v>
      </c>
      <c r="I29" s="129">
        <v>0.783</v>
      </c>
      <c r="J29" s="124">
        <v>1.3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99" t="s">
        <v>68</v>
      </c>
      <c r="H30" s="129">
        <v>0.375</v>
      </c>
      <c r="I30" s="129">
        <v>1.37</v>
      </c>
      <c r="J30" s="124">
        <v>2.66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99" t="s">
        <v>69</v>
      </c>
      <c r="H31" s="129">
        <v>0.112</v>
      </c>
      <c r="I31" s="129">
        <v>0.258</v>
      </c>
      <c r="J31" s="124">
        <v>1.3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99" t="s">
        <v>70</v>
      </c>
      <c r="H32" s="129">
        <v>0.141</v>
      </c>
      <c r="I32" s="129">
        <v>0.309</v>
      </c>
      <c r="J32" s="124">
        <v>1.18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99" t="s">
        <v>71</v>
      </c>
      <c r="H33" s="129">
        <v>0.68</v>
      </c>
      <c r="I33" s="129">
        <v>1.43</v>
      </c>
      <c r="J33" s="124">
        <v>1.1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99" t="s">
        <v>72</v>
      </c>
      <c r="H34" s="129">
        <v>0.081</v>
      </c>
      <c r="I34" s="129">
        <v>0.108</v>
      </c>
      <c r="J34" s="124">
        <v>0.34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G35" s="90" t="s">
        <v>73</v>
      </c>
      <c r="H35" s="90">
        <v>0.018</v>
      </c>
      <c r="I35" s="90">
        <v>0.012</v>
      </c>
      <c r="J35" s="130">
        <v>-0.36</v>
      </c>
    </row>
    <row r="36">
      <c r="G36" s="90" t="s">
        <v>74</v>
      </c>
      <c r="H36" s="90">
        <v>0.145</v>
      </c>
      <c r="I36" s="90">
        <v>0.264</v>
      </c>
      <c r="J36" s="130">
        <v>0.82</v>
      </c>
    </row>
    <row r="37">
      <c r="G37" s="90" t="s">
        <v>75</v>
      </c>
      <c r="H37" s="90">
        <v>0.065</v>
      </c>
      <c r="I37" s="90">
        <v>0.088</v>
      </c>
      <c r="J37" s="130">
        <v>0.35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15</v>
      </c>
      <c r="B1" s="99" t="s">
        <v>82</v>
      </c>
      <c r="C1" s="99" t="s">
        <v>23</v>
      </c>
      <c r="D1" s="99" t="s">
        <v>24</v>
      </c>
      <c r="E1" s="1"/>
      <c r="F1" s="1"/>
      <c r="G1" s="1"/>
      <c r="H1" s="132" t="s">
        <v>83</v>
      </c>
      <c r="I1" s="1"/>
      <c r="J1" s="1"/>
      <c r="K1" s="1"/>
      <c r="L1" s="1"/>
      <c r="M1" s="131" t="s">
        <v>15</v>
      </c>
      <c r="N1" s="99" t="s">
        <v>84</v>
      </c>
      <c r="O1" s="99" t="s">
        <v>23</v>
      </c>
      <c r="P1" s="99" t="s">
        <v>24</v>
      </c>
      <c r="Q1" s="1"/>
      <c r="R1" s="99" t="s">
        <v>83</v>
      </c>
      <c r="S1" s="1"/>
      <c r="T1" s="1"/>
      <c r="U1" s="1"/>
      <c r="V1" s="1"/>
      <c r="W1" s="131" t="s">
        <v>15</v>
      </c>
      <c r="X1" s="99" t="s">
        <v>85</v>
      </c>
      <c r="Y1" s="99" t="s">
        <v>23</v>
      </c>
      <c r="Z1" s="99" t="s">
        <v>24</v>
      </c>
      <c r="AA1" s="1"/>
      <c r="AB1" s="99" t="s">
        <v>83</v>
      </c>
      <c r="AC1" s="1"/>
      <c r="AD1" s="1"/>
      <c r="AE1" s="1"/>
      <c r="AF1" s="1"/>
      <c r="AG1" s="131" t="s">
        <v>15</v>
      </c>
      <c r="AH1" s="99" t="s">
        <v>5</v>
      </c>
      <c r="AI1" s="99" t="s">
        <v>23</v>
      </c>
      <c r="AJ1" s="99" t="s">
        <v>24</v>
      </c>
      <c r="AK1" s="1"/>
      <c r="AL1" s="99" t="s">
        <v>83</v>
      </c>
      <c r="AM1" s="1"/>
      <c r="AN1" s="1"/>
      <c r="AO1" s="1"/>
      <c r="AP1" s="1"/>
      <c r="AQ1" s="1"/>
      <c r="AR1" s="131" t="s">
        <v>15</v>
      </c>
      <c r="AS1" s="99" t="s">
        <v>7</v>
      </c>
      <c r="AT1" s="99" t="s">
        <v>23</v>
      </c>
      <c r="AU1" s="99" t="s">
        <v>24</v>
      </c>
      <c r="AV1" s="1"/>
      <c r="AW1" s="99" t="s">
        <v>83</v>
      </c>
      <c r="AX1" s="1"/>
      <c r="AY1" s="1"/>
      <c r="AZ1" s="1"/>
      <c r="BA1" s="1"/>
      <c r="BB1" s="1"/>
      <c r="BC1" s="1"/>
      <c r="BD1" s="1"/>
      <c r="BE1" s="1"/>
    </row>
    <row r="2">
      <c r="A2" s="131" t="s">
        <v>33</v>
      </c>
      <c r="B2" s="99" t="s">
        <v>80</v>
      </c>
      <c r="C2" s="107">
        <v>0.05032605751</v>
      </c>
      <c r="D2" s="107">
        <v>0.2016020105</v>
      </c>
      <c r="E2" s="1"/>
      <c r="F2" s="1"/>
      <c r="G2" s="1"/>
      <c r="H2" s="1"/>
      <c r="I2" s="1"/>
      <c r="J2" s="1"/>
      <c r="K2" s="1"/>
      <c r="L2" s="1"/>
      <c r="M2" s="131" t="s">
        <v>33</v>
      </c>
      <c r="N2" s="99" t="s">
        <v>80</v>
      </c>
      <c r="O2" s="107">
        <v>0.004815508305</v>
      </c>
      <c r="P2" s="107">
        <v>0.008764115969</v>
      </c>
      <c r="Q2" s="1"/>
      <c r="R2" s="1"/>
      <c r="S2" s="1"/>
      <c r="T2" s="1"/>
      <c r="U2" s="1"/>
      <c r="V2" s="1"/>
      <c r="W2" s="131" t="s">
        <v>33</v>
      </c>
      <c r="X2" s="99" t="s">
        <v>80</v>
      </c>
      <c r="Y2" s="107">
        <v>8.408856855E-5</v>
      </c>
      <c r="Z2" s="107">
        <v>5.304146185E-4</v>
      </c>
      <c r="AA2" s="1"/>
      <c r="AB2" s="1"/>
      <c r="AC2" s="1"/>
      <c r="AD2" s="1"/>
      <c r="AE2" s="1"/>
      <c r="AF2" s="1"/>
      <c r="AG2" s="131" t="s">
        <v>33</v>
      </c>
      <c r="AH2" s="99" t="s">
        <v>80</v>
      </c>
      <c r="AI2" s="107">
        <v>0.0321</v>
      </c>
      <c r="AJ2" s="107">
        <v>0.0422</v>
      </c>
      <c r="AK2" s="1"/>
      <c r="AL2" s="1"/>
      <c r="AM2" s="1"/>
      <c r="AN2" s="1"/>
      <c r="AO2" s="1"/>
      <c r="AP2" s="1"/>
      <c r="AQ2" s="1"/>
      <c r="AR2" s="131" t="s">
        <v>33</v>
      </c>
      <c r="AS2" s="99" t="s">
        <v>80</v>
      </c>
      <c r="AT2" s="107">
        <v>3.5259E-4</v>
      </c>
      <c r="AU2" s="107">
        <v>3.5688E-4</v>
      </c>
      <c r="AV2" s="1"/>
      <c r="AW2" s="1"/>
      <c r="AX2" s="1"/>
      <c r="AY2" s="1"/>
      <c r="AZ2" s="1"/>
      <c r="BA2" s="1"/>
      <c r="BB2" s="1"/>
      <c r="BC2" s="1"/>
      <c r="BD2" s="1"/>
      <c r="BE2" s="1"/>
    </row>
    <row r="3">
      <c r="A3" s="131" t="s">
        <v>35</v>
      </c>
      <c r="B3" s="1"/>
      <c r="C3" s="107">
        <v>0.1908171646</v>
      </c>
      <c r="D3" s="107">
        <v>0.9405297603</v>
      </c>
      <c r="E3" s="1"/>
      <c r="F3" s="1"/>
      <c r="G3" s="1"/>
      <c r="H3" s="99" t="s">
        <v>86</v>
      </c>
      <c r="I3" s="1"/>
      <c r="J3" s="99" t="s">
        <v>23</v>
      </c>
      <c r="K3" s="99" t="s">
        <v>87</v>
      </c>
      <c r="L3" s="1"/>
      <c r="M3" s="131" t="s">
        <v>35</v>
      </c>
      <c r="N3" s="1"/>
      <c r="O3" s="107">
        <v>0.007515237835</v>
      </c>
      <c r="P3" s="107">
        <v>0.008657981897</v>
      </c>
      <c r="Q3" s="1"/>
      <c r="R3" s="99" t="s">
        <v>86</v>
      </c>
      <c r="S3" s="99" t="s">
        <v>84</v>
      </c>
      <c r="T3" s="99" t="s">
        <v>23</v>
      </c>
      <c r="U3" s="99" t="s">
        <v>87</v>
      </c>
      <c r="V3" s="1"/>
      <c r="W3" s="131" t="s">
        <v>35</v>
      </c>
      <c r="X3" s="1"/>
      <c r="Y3" s="107">
        <v>5.026290171E-5</v>
      </c>
      <c r="Z3" s="107">
        <v>4.15172478E-9</v>
      </c>
      <c r="AA3" s="1"/>
      <c r="AB3" s="99" t="s">
        <v>86</v>
      </c>
      <c r="AC3" s="99" t="s">
        <v>85</v>
      </c>
      <c r="AD3" s="99" t="s">
        <v>23</v>
      </c>
      <c r="AE3" s="99" t="s">
        <v>87</v>
      </c>
      <c r="AF3" s="1"/>
      <c r="AG3" s="131" t="s">
        <v>35</v>
      </c>
      <c r="AH3" s="1"/>
      <c r="AI3" s="107">
        <v>0.0192</v>
      </c>
      <c r="AJ3" s="107">
        <v>0.0208</v>
      </c>
      <c r="AK3" s="1"/>
      <c r="AL3" s="99" t="s">
        <v>86</v>
      </c>
      <c r="AM3" s="99" t="s">
        <v>5</v>
      </c>
      <c r="AN3" s="99" t="s">
        <v>23</v>
      </c>
      <c r="AO3" s="99" t="s">
        <v>87</v>
      </c>
      <c r="AP3" s="1"/>
      <c r="AQ3" s="1"/>
      <c r="AR3" s="131" t="s">
        <v>35</v>
      </c>
      <c r="AS3" s="1"/>
      <c r="AT3" s="107">
        <v>1.7937E-4</v>
      </c>
      <c r="AU3" s="107">
        <v>1.4461E-4</v>
      </c>
      <c r="AV3" s="1"/>
      <c r="AW3" s="99" t="s">
        <v>86</v>
      </c>
      <c r="AX3" s="99" t="s">
        <v>7</v>
      </c>
      <c r="AY3" s="99" t="s">
        <v>23</v>
      </c>
      <c r="AZ3" s="99" t="s">
        <v>87</v>
      </c>
      <c r="BA3" s="1"/>
      <c r="BB3" s="1"/>
      <c r="BC3" s="1"/>
      <c r="BD3" s="1"/>
      <c r="BE3" s="1"/>
    </row>
    <row r="4">
      <c r="A4" s="131" t="s">
        <v>37</v>
      </c>
      <c r="B4" s="1"/>
      <c r="C4" s="107">
        <v>0.1594805817</v>
      </c>
      <c r="D4" s="107">
        <v>0.2589227166</v>
      </c>
      <c r="E4" s="1"/>
      <c r="F4" s="1"/>
      <c r="G4" s="1"/>
      <c r="H4" s="133" t="s">
        <v>80</v>
      </c>
      <c r="I4" s="122"/>
      <c r="J4" s="122"/>
      <c r="K4" s="122"/>
      <c r="L4" s="1"/>
      <c r="M4" s="131" t="s">
        <v>37</v>
      </c>
      <c r="N4" s="1"/>
      <c r="O4" s="107">
        <v>0.003736515291</v>
      </c>
      <c r="P4" s="107">
        <v>0.005636244021</v>
      </c>
      <c r="Q4" s="1"/>
      <c r="R4" s="133" t="s">
        <v>80</v>
      </c>
      <c r="S4" s="122"/>
      <c r="T4" s="122"/>
      <c r="U4" s="122"/>
      <c r="V4" s="1"/>
      <c r="W4" s="131" t="s">
        <v>37</v>
      </c>
      <c r="X4" s="1"/>
      <c r="Y4" s="107">
        <v>7.129792489E-5</v>
      </c>
      <c r="Z4" s="107">
        <v>7.443701029E-9</v>
      </c>
      <c r="AA4" s="1"/>
      <c r="AB4" s="133" t="s">
        <v>80</v>
      </c>
      <c r="AC4" s="122"/>
      <c r="AD4" s="122"/>
      <c r="AE4" s="122"/>
      <c r="AF4" s="1"/>
      <c r="AG4" s="131" t="s">
        <v>37</v>
      </c>
      <c r="AH4" s="1"/>
      <c r="AI4" s="107">
        <v>0.0226</v>
      </c>
      <c r="AJ4" s="107">
        <v>0.033</v>
      </c>
      <c r="AK4" s="1"/>
      <c r="AL4" s="133" t="s">
        <v>80</v>
      </c>
      <c r="AM4" s="122"/>
      <c r="AN4" s="122"/>
      <c r="AO4" s="122"/>
      <c r="AP4" s="99" t="s">
        <v>78</v>
      </c>
      <c r="AQ4" s="1"/>
      <c r="AR4" s="131" t="s">
        <v>37</v>
      </c>
      <c r="AS4" s="1"/>
      <c r="AT4" s="107">
        <v>4.7769E-4</v>
      </c>
      <c r="AU4" s="107">
        <v>2.3682E-4</v>
      </c>
      <c r="AV4" s="1"/>
      <c r="AW4" s="133" t="s">
        <v>80</v>
      </c>
      <c r="AX4" s="122"/>
      <c r="AY4" s="122"/>
      <c r="AZ4" s="122"/>
      <c r="BA4" s="1"/>
      <c r="BB4" s="1"/>
      <c r="BC4" s="1"/>
      <c r="BD4" s="1"/>
      <c r="BE4" s="1"/>
    </row>
    <row r="5">
      <c r="A5" s="131" t="s">
        <v>38</v>
      </c>
      <c r="B5" s="1"/>
      <c r="C5" s="107">
        <v>0.05409107313</v>
      </c>
      <c r="D5" s="107">
        <v>0.5817571829</v>
      </c>
      <c r="E5" s="1"/>
      <c r="F5" s="1"/>
      <c r="G5" s="1"/>
      <c r="H5" s="99" t="s">
        <v>88</v>
      </c>
      <c r="I5" s="107">
        <v>7.0</v>
      </c>
      <c r="J5" s="107">
        <v>7.0</v>
      </c>
      <c r="K5" s="107">
        <v>14.0</v>
      </c>
      <c r="L5" s="1"/>
      <c r="M5" s="131" t="s">
        <v>38</v>
      </c>
      <c r="N5" s="1"/>
      <c r="O5" s="107">
        <v>0.003312758679</v>
      </c>
      <c r="P5" s="107">
        <v>0.004740034121</v>
      </c>
      <c r="Q5" s="1"/>
      <c r="R5" s="99" t="s">
        <v>88</v>
      </c>
      <c r="S5" s="107">
        <v>7.0</v>
      </c>
      <c r="T5" s="107">
        <v>7.0</v>
      </c>
      <c r="U5" s="107">
        <v>14.0</v>
      </c>
      <c r="V5" s="1"/>
      <c r="W5" s="131" t="s">
        <v>38</v>
      </c>
      <c r="X5" s="1"/>
      <c r="Y5" s="107">
        <v>1.259019175E-4</v>
      </c>
      <c r="Z5" s="107">
        <v>1.799200276E-7</v>
      </c>
      <c r="AA5" s="1"/>
      <c r="AB5" s="99" t="s">
        <v>88</v>
      </c>
      <c r="AC5" s="107">
        <v>7.0</v>
      </c>
      <c r="AD5" s="107">
        <v>7.0</v>
      </c>
      <c r="AE5" s="107">
        <v>14.0</v>
      </c>
      <c r="AF5" s="1"/>
      <c r="AG5" s="131" t="s">
        <v>38</v>
      </c>
      <c r="AH5" s="1"/>
      <c r="AI5" s="107">
        <v>0.0215</v>
      </c>
      <c r="AJ5" s="107">
        <v>0.0205</v>
      </c>
      <c r="AK5" s="1"/>
      <c r="AL5" s="99" t="s">
        <v>88</v>
      </c>
      <c r="AM5" s="107">
        <v>7.0</v>
      </c>
      <c r="AN5" s="107">
        <v>7.0</v>
      </c>
      <c r="AO5" s="107">
        <v>14.0</v>
      </c>
      <c r="AP5" s="1"/>
      <c r="AQ5" s="1"/>
      <c r="AR5" s="131" t="s">
        <v>38</v>
      </c>
      <c r="AS5" s="1"/>
      <c r="AT5" s="107">
        <v>3.785E-5</v>
      </c>
      <c r="AU5" s="107">
        <v>1.0602E-4</v>
      </c>
      <c r="AV5" s="1"/>
      <c r="AW5" s="99" t="s">
        <v>88</v>
      </c>
      <c r="AX5" s="107">
        <v>7.0</v>
      </c>
      <c r="AY5" s="107">
        <v>7.0</v>
      </c>
      <c r="AZ5" s="107">
        <v>14.0</v>
      </c>
      <c r="BA5" s="1"/>
      <c r="BB5" s="1"/>
      <c r="BC5" s="1"/>
      <c r="BD5" s="1"/>
      <c r="BE5" s="1"/>
    </row>
    <row r="6">
      <c r="A6" s="131" t="s">
        <v>40</v>
      </c>
      <c r="B6" s="1"/>
      <c r="C6" s="107">
        <v>0.09109499083</v>
      </c>
      <c r="D6" s="107">
        <v>0.05828279613</v>
      </c>
      <c r="E6" s="1"/>
      <c r="F6" s="1"/>
      <c r="G6" s="1"/>
      <c r="H6" s="99" t="s">
        <v>89</v>
      </c>
      <c r="I6" s="107">
        <v>1.261123466</v>
      </c>
      <c r="J6" s="107">
        <v>4.194348463</v>
      </c>
      <c r="K6" s="107">
        <v>5.45547193</v>
      </c>
      <c r="L6" s="1"/>
      <c r="M6" s="131" t="s">
        <v>40</v>
      </c>
      <c r="N6" s="1"/>
      <c r="O6" s="107">
        <v>0.003026434952</v>
      </c>
      <c r="P6" s="107">
        <v>0.002245228395</v>
      </c>
      <c r="Q6" s="1"/>
      <c r="R6" s="99" t="s">
        <v>89</v>
      </c>
      <c r="S6" s="107">
        <v>0.0546172657</v>
      </c>
      <c r="T6" s="107">
        <v>0.06542333479</v>
      </c>
      <c r="U6" s="107">
        <v>0.1200406005</v>
      </c>
      <c r="V6" s="1"/>
      <c r="W6" s="131" t="s">
        <v>40</v>
      </c>
      <c r="X6" s="1"/>
      <c r="Y6" s="107">
        <v>0.0</v>
      </c>
      <c r="Z6" s="107">
        <v>0.0</v>
      </c>
      <c r="AA6" s="1"/>
      <c r="AB6" s="99" t="s">
        <v>89</v>
      </c>
      <c r="AC6" s="107">
        <v>6.417067904E-4</v>
      </c>
      <c r="AD6" s="107">
        <v>5.306849744E-4</v>
      </c>
      <c r="AE6" s="107">
        <v>0.001172391765</v>
      </c>
      <c r="AF6" s="1"/>
      <c r="AG6" s="131" t="s">
        <v>40</v>
      </c>
      <c r="AH6" s="1"/>
      <c r="AI6" s="107">
        <v>0.0378</v>
      </c>
      <c r="AJ6" s="107">
        <v>0.0541</v>
      </c>
      <c r="AK6" s="1"/>
      <c r="AL6" s="99" t="s">
        <v>89</v>
      </c>
      <c r="AM6" s="107">
        <v>0.1795</v>
      </c>
      <c r="AN6" s="107">
        <v>0.2079</v>
      </c>
      <c r="AO6" s="107">
        <v>0.3874</v>
      </c>
      <c r="AP6" s="107">
        <v>0.1582172702</v>
      </c>
      <c r="AQ6" s="1"/>
      <c r="AR6" s="131" t="s">
        <v>40</v>
      </c>
      <c r="AS6" s="1"/>
      <c r="AT6" s="107">
        <v>0.0</v>
      </c>
      <c r="AU6" s="107">
        <v>0.0</v>
      </c>
      <c r="AV6" s="1"/>
      <c r="AW6" s="99" t="s">
        <v>89</v>
      </c>
      <c r="AX6" s="107">
        <v>0.00133876</v>
      </c>
      <c r="AY6" s="107">
        <v>0.00105383</v>
      </c>
      <c r="AZ6" s="107">
        <v>0.00239259</v>
      </c>
      <c r="BA6" s="1"/>
      <c r="BB6" s="1"/>
      <c r="BC6" s="1"/>
      <c r="BD6" s="1"/>
      <c r="BE6" s="1"/>
    </row>
    <row r="7">
      <c r="A7" s="131" t="s">
        <v>41</v>
      </c>
      <c r="B7" s="1"/>
      <c r="C7" s="107">
        <v>0.3406781668</v>
      </c>
      <c r="D7" s="107">
        <v>0.7832609745</v>
      </c>
      <c r="E7" s="1"/>
      <c r="F7" s="1"/>
      <c r="G7" s="1"/>
      <c r="H7" s="99" t="s">
        <v>90</v>
      </c>
      <c r="I7" s="107">
        <v>0.1801604952</v>
      </c>
      <c r="J7" s="107">
        <v>0.5991926376</v>
      </c>
      <c r="K7" s="107">
        <v>0.3896765664</v>
      </c>
      <c r="L7" s="1"/>
      <c r="M7" s="131" t="s">
        <v>41</v>
      </c>
      <c r="N7" s="1"/>
      <c r="O7" s="107">
        <v>0.02318096367</v>
      </c>
      <c r="P7" s="107">
        <v>0.02167021749</v>
      </c>
      <c r="Q7" s="1"/>
      <c r="R7" s="99" t="s">
        <v>90</v>
      </c>
      <c r="S7" s="107">
        <v>0.007802466529</v>
      </c>
      <c r="T7" s="107">
        <v>0.009346190685</v>
      </c>
      <c r="U7" s="107">
        <v>0.008574328607</v>
      </c>
      <c r="V7" s="1"/>
      <c r="W7" s="131" t="s">
        <v>41</v>
      </c>
      <c r="X7" s="1"/>
      <c r="Y7" s="107">
        <v>2.574296673E-4</v>
      </c>
      <c r="Z7" s="107">
        <v>7.757401059E-8</v>
      </c>
      <c r="AA7" s="1"/>
      <c r="AB7" s="99" t="s">
        <v>90</v>
      </c>
      <c r="AC7" s="107">
        <v>9.167239864E-5</v>
      </c>
      <c r="AD7" s="107">
        <v>7.58121392E-5</v>
      </c>
      <c r="AE7" s="107">
        <v>8.374226892E-5</v>
      </c>
      <c r="AF7" s="1"/>
      <c r="AG7" s="131" t="s">
        <v>41</v>
      </c>
      <c r="AH7" s="1"/>
      <c r="AI7" s="107">
        <v>0.0386</v>
      </c>
      <c r="AJ7" s="107">
        <v>0.0235</v>
      </c>
      <c r="AK7" s="1"/>
      <c r="AL7" s="99" t="s">
        <v>90</v>
      </c>
      <c r="AM7" s="107">
        <v>0.02564285714</v>
      </c>
      <c r="AN7" s="107">
        <v>0.0297</v>
      </c>
      <c r="AO7" s="107">
        <v>0.02767142857</v>
      </c>
      <c r="AP7" s="107">
        <v>0.1582172702</v>
      </c>
      <c r="AQ7" s="1"/>
      <c r="AR7" s="131" t="s">
        <v>41</v>
      </c>
      <c r="AS7" s="1"/>
      <c r="AT7" s="107">
        <v>2.342E-5</v>
      </c>
      <c r="AU7" s="107">
        <v>1.909E-5</v>
      </c>
      <c r="AV7" s="1"/>
      <c r="AW7" s="99" t="s">
        <v>90</v>
      </c>
      <c r="AX7" s="107">
        <v>1.912514286E-4</v>
      </c>
      <c r="AY7" s="107">
        <v>1.505471429E-4</v>
      </c>
      <c r="AZ7" s="107">
        <v>1.708992857E-4</v>
      </c>
      <c r="BA7" s="1"/>
      <c r="BB7" s="1"/>
      <c r="BC7" s="1"/>
      <c r="BD7" s="1"/>
      <c r="BE7" s="1"/>
    </row>
    <row r="8">
      <c r="A8" s="134" t="s">
        <v>42</v>
      </c>
      <c r="B8" s="1"/>
      <c r="C8" s="107">
        <v>0.3746354317</v>
      </c>
      <c r="D8" s="107">
        <v>1.369993022</v>
      </c>
      <c r="E8" s="1"/>
      <c r="F8" s="1"/>
      <c r="G8" s="1"/>
      <c r="H8" s="99" t="s">
        <v>91</v>
      </c>
      <c r="I8" s="107">
        <v>0.01746846529</v>
      </c>
      <c r="J8" s="107">
        <v>0.2185457992</v>
      </c>
      <c r="K8" s="107">
        <v>0.1562033357</v>
      </c>
      <c r="L8" s="1"/>
      <c r="M8" s="134" t="s">
        <v>42</v>
      </c>
      <c r="N8" s="1"/>
      <c r="O8" s="107">
        <v>0.00902984697</v>
      </c>
      <c r="P8" s="107">
        <v>0.0137095129</v>
      </c>
      <c r="Q8" s="1"/>
      <c r="R8" s="99" t="s">
        <v>91</v>
      </c>
      <c r="S8" s="107">
        <v>5.108482842E-5</v>
      </c>
      <c r="T8" s="107">
        <v>4.285611796E-5</v>
      </c>
      <c r="U8" s="107">
        <v>4.399895948E-5</v>
      </c>
      <c r="V8" s="1"/>
      <c r="W8" s="134" t="s">
        <v>42</v>
      </c>
      <c r="X8" s="1"/>
      <c r="Y8" s="107">
        <v>5.272581045E-5</v>
      </c>
      <c r="Z8" s="107">
        <v>1.266461452E-9</v>
      </c>
      <c r="AA8" s="1"/>
      <c r="AB8" s="99" t="s">
        <v>91</v>
      </c>
      <c r="AC8" s="107">
        <v>6.792529598E-9</v>
      </c>
      <c r="AD8" s="107">
        <v>4.018455714E-8</v>
      </c>
      <c r="AE8" s="107">
        <v>2.174945676E-8</v>
      </c>
      <c r="AF8" s="1"/>
      <c r="AG8" s="134" t="s">
        <v>42</v>
      </c>
      <c r="AH8" s="1"/>
      <c r="AI8" s="107">
        <v>0.0077</v>
      </c>
      <c r="AJ8" s="107">
        <v>0.0138</v>
      </c>
      <c r="AK8" s="1"/>
      <c r="AL8" s="99" t="s">
        <v>91</v>
      </c>
      <c r="AM8" s="107">
        <v>1.245428571E-4</v>
      </c>
      <c r="AN8" s="107">
        <v>2.029333333E-4</v>
      </c>
      <c r="AO8" s="107">
        <v>1.555745055E-4</v>
      </c>
      <c r="AP8" s="107">
        <v>0.6294257093</v>
      </c>
      <c r="AQ8" s="1"/>
      <c r="AR8" s="134" t="s">
        <v>42</v>
      </c>
      <c r="AS8" s="1"/>
      <c r="AT8" s="107">
        <v>2.6784E-4</v>
      </c>
      <c r="AU8" s="107">
        <v>1.9041E-4</v>
      </c>
      <c r="AV8" s="1"/>
      <c r="AW8" s="99" t="s">
        <v>91</v>
      </c>
      <c r="AX8" s="107">
        <v>3.372677718E-8</v>
      </c>
      <c r="AY8" s="107">
        <v>1.559477332E-8</v>
      </c>
      <c r="AZ8" s="107">
        <v>2.320986455E-8</v>
      </c>
      <c r="BA8" s="1"/>
      <c r="BB8" s="1"/>
      <c r="BC8" s="1"/>
      <c r="BD8" s="1"/>
      <c r="BE8" s="1"/>
    </row>
    <row r="9">
      <c r="A9" s="135" t="s">
        <v>45</v>
      </c>
      <c r="B9" s="99" t="s">
        <v>81</v>
      </c>
      <c r="C9" s="107">
        <v>0.112330631</v>
      </c>
      <c r="D9" s="107">
        <v>0.2584968841</v>
      </c>
      <c r="E9" s="1"/>
      <c r="F9" s="1"/>
      <c r="G9" s="1"/>
      <c r="H9" s="1"/>
      <c r="I9" s="1"/>
      <c r="J9" s="1"/>
      <c r="K9" s="1"/>
      <c r="L9" s="1"/>
      <c r="M9" s="135" t="s">
        <v>45</v>
      </c>
      <c r="N9" s="99" t="s">
        <v>81</v>
      </c>
      <c r="O9" s="107">
        <v>0.008054138842</v>
      </c>
      <c r="P9" s="107">
        <v>0.01186978909</v>
      </c>
      <c r="Q9" s="1"/>
      <c r="R9" s="1"/>
      <c r="S9" s="1"/>
      <c r="T9" s="1"/>
      <c r="U9" s="1"/>
      <c r="V9" s="1"/>
      <c r="W9" s="135" t="s">
        <v>45</v>
      </c>
      <c r="X9" s="99" t="s">
        <v>81</v>
      </c>
      <c r="Y9" s="107">
        <v>2.259628453E-4</v>
      </c>
      <c r="Z9" s="107">
        <v>1.476541566E-8</v>
      </c>
      <c r="AA9" s="1"/>
      <c r="AB9" s="1"/>
      <c r="AC9" s="1"/>
      <c r="AD9" s="1"/>
      <c r="AE9" s="1"/>
      <c r="AF9" s="1"/>
      <c r="AG9" s="135" t="s">
        <v>45</v>
      </c>
      <c r="AH9" s="99" t="s">
        <v>81</v>
      </c>
      <c r="AI9" s="107">
        <v>0.0423</v>
      </c>
      <c r="AJ9" s="107">
        <v>0.0484</v>
      </c>
      <c r="AK9" s="1"/>
      <c r="AL9" s="1"/>
      <c r="AM9" s="1"/>
      <c r="AN9" s="1"/>
      <c r="AO9" s="1"/>
      <c r="AP9" s="1"/>
      <c r="AQ9" s="1"/>
      <c r="AR9" s="135" t="s">
        <v>45</v>
      </c>
      <c r="AS9" s="99" t="s">
        <v>81</v>
      </c>
      <c r="AT9" s="107">
        <v>3.2854E-4</v>
      </c>
      <c r="AU9" s="107">
        <v>2.4568E-4</v>
      </c>
      <c r="AV9" s="1"/>
      <c r="AW9" s="1"/>
      <c r="AX9" s="1"/>
      <c r="AY9" s="1"/>
      <c r="AZ9" s="1"/>
      <c r="BA9" s="1"/>
      <c r="BB9" s="1"/>
      <c r="BC9" s="1"/>
      <c r="BD9" s="1"/>
      <c r="BE9" s="1"/>
    </row>
    <row r="10">
      <c r="A10" s="135" t="s">
        <v>47</v>
      </c>
      <c r="B10" s="1"/>
      <c r="C10" s="107">
        <v>0.1414994942</v>
      </c>
      <c r="D10" s="107">
        <v>0.3090402845</v>
      </c>
      <c r="E10" s="1"/>
      <c r="F10" s="1"/>
      <c r="G10" s="1"/>
      <c r="H10" s="133" t="s">
        <v>81</v>
      </c>
      <c r="I10" s="122"/>
      <c r="J10" s="122"/>
      <c r="K10" s="122"/>
      <c r="L10" s="1"/>
      <c r="M10" s="135" t="s">
        <v>47</v>
      </c>
      <c r="N10" s="1"/>
      <c r="O10" s="107">
        <v>0.005551919719</v>
      </c>
      <c r="P10" s="107">
        <v>0.006785309451</v>
      </c>
      <c r="Q10" s="1"/>
      <c r="R10" s="133" t="s">
        <v>81</v>
      </c>
      <c r="S10" s="122"/>
      <c r="T10" s="122"/>
      <c r="U10" s="122"/>
      <c r="V10" s="1"/>
      <c r="W10" s="135" t="s">
        <v>47</v>
      </c>
      <c r="X10" s="1"/>
      <c r="Y10" s="107">
        <v>1.58212082E-4</v>
      </c>
      <c r="Z10" s="107">
        <v>3.107664954E-8</v>
      </c>
      <c r="AA10" s="1"/>
      <c r="AB10" s="133" t="s">
        <v>81</v>
      </c>
      <c r="AC10" s="122"/>
      <c r="AD10" s="122"/>
      <c r="AE10" s="122"/>
      <c r="AF10" s="1"/>
      <c r="AG10" s="135" t="s">
        <v>47</v>
      </c>
      <c r="AH10" s="1"/>
      <c r="AI10" s="107">
        <v>0.0244</v>
      </c>
      <c r="AJ10" s="107">
        <v>0.029</v>
      </c>
      <c r="AK10" s="1"/>
      <c r="AL10" s="133" t="s">
        <v>81</v>
      </c>
      <c r="AM10" s="122"/>
      <c r="AN10" s="122"/>
      <c r="AO10" s="122"/>
      <c r="AP10" s="1"/>
      <c r="AQ10" s="1"/>
      <c r="AR10" s="135" t="s">
        <v>47</v>
      </c>
      <c r="AS10" s="1"/>
      <c r="AT10" s="107">
        <v>2.3262E-4</v>
      </c>
      <c r="AU10" s="107">
        <v>1.9785E-4</v>
      </c>
      <c r="AV10" s="1"/>
      <c r="AW10" s="133" t="s">
        <v>81</v>
      </c>
      <c r="AX10" s="122"/>
      <c r="AY10" s="122"/>
      <c r="AZ10" s="122"/>
      <c r="BA10" s="1"/>
      <c r="BB10" s="1"/>
      <c r="BC10" s="1"/>
      <c r="BD10" s="1"/>
      <c r="BE10" s="1"/>
    </row>
    <row r="11">
      <c r="A11" s="135" t="s">
        <v>49</v>
      </c>
      <c r="B11" s="1"/>
      <c r="C11" s="107">
        <v>0.6796734288</v>
      </c>
      <c r="D11" s="107">
        <v>1.430304224</v>
      </c>
      <c r="E11" s="1"/>
      <c r="F11" s="1"/>
      <c r="G11" s="1"/>
      <c r="H11" s="99" t="s">
        <v>88</v>
      </c>
      <c r="I11" s="107">
        <v>7.0</v>
      </c>
      <c r="J11" s="107">
        <v>7.0</v>
      </c>
      <c r="K11" s="107">
        <v>14.0</v>
      </c>
      <c r="L11" s="1"/>
      <c r="M11" s="135" t="s">
        <v>49</v>
      </c>
      <c r="N11" s="1"/>
      <c r="O11" s="107">
        <v>0.02088579474</v>
      </c>
      <c r="P11" s="107">
        <v>0.02943521537</v>
      </c>
      <c r="Q11" s="1"/>
      <c r="R11" s="99" t="s">
        <v>88</v>
      </c>
      <c r="S11" s="107">
        <v>7.0</v>
      </c>
      <c r="T11" s="107">
        <v>7.0</v>
      </c>
      <c r="U11" s="107">
        <v>14.0</v>
      </c>
      <c r="V11" s="1"/>
      <c r="W11" s="135" t="s">
        <v>49</v>
      </c>
      <c r="X11" s="1"/>
      <c r="Y11" s="107">
        <v>7.84111541E-4</v>
      </c>
      <c r="Z11" s="107">
        <v>1.506293643E-8</v>
      </c>
      <c r="AA11" s="1"/>
      <c r="AB11" s="99" t="s">
        <v>88</v>
      </c>
      <c r="AC11" s="107">
        <v>7.0</v>
      </c>
      <c r="AD11" s="107">
        <v>7.0</v>
      </c>
      <c r="AE11" s="107">
        <v>14.0</v>
      </c>
      <c r="AF11" s="1"/>
      <c r="AG11" s="135" t="s">
        <v>49</v>
      </c>
      <c r="AH11" s="1"/>
      <c r="AI11" s="107">
        <v>0.0318</v>
      </c>
      <c r="AJ11" s="107">
        <v>0.0349</v>
      </c>
      <c r="AK11" s="1"/>
      <c r="AL11" s="99" t="s">
        <v>88</v>
      </c>
      <c r="AM11" s="107">
        <v>7.0</v>
      </c>
      <c r="AN11" s="107">
        <v>7.0</v>
      </c>
      <c r="AO11" s="107">
        <v>14.0</v>
      </c>
      <c r="AP11" s="1"/>
      <c r="AQ11" s="1"/>
      <c r="AR11" s="135" t="s">
        <v>49</v>
      </c>
      <c r="AS11" s="1"/>
      <c r="AT11" s="107">
        <v>5.2185E-4</v>
      </c>
      <c r="AU11" s="107">
        <v>1.6425E-4</v>
      </c>
      <c r="AV11" s="1"/>
      <c r="AW11" s="99" t="s">
        <v>88</v>
      </c>
      <c r="AX11" s="107">
        <v>7.0</v>
      </c>
      <c r="AY11" s="107">
        <v>7.0</v>
      </c>
      <c r="AZ11" s="107">
        <v>14.0</v>
      </c>
      <c r="BA11" s="1"/>
      <c r="BB11" s="1"/>
      <c r="BC11" s="1"/>
      <c r="BD11" s="1"/>
      <c r="BE11" s="1"/>
    </row>
    <row r="12">
      <c r="A12" s="135" t="s">
        <v>50</v>
      </c>
      <c r="B12" s="1"/>
      <c r="C12" s="107">
        <v>0.08118414865</v>
      </c>
      <c r="D12" s="107">
        <v>0.1083960489</v>
      </c>
      <c r="E12" s="1"/>
      <c r="F12" s="1"/>
      <c r="G12" s="1"/>
      <c r="H12" s="99" t="s">
        <v>89</v>
      </c>
      <c r="I12" s="107">
        <v>1.242990778</v>
      </c>
      <c r="J12" s="107">
        <v>2.469610303</v>
      </c>
      <c r="K12" s="107">
        <v>3.712601081</v>
      </c>
      <c r="L12" s="1"/>
      <c r="M12" s="135" t="s">
        <v>50</v>
      </c>
      <c r="N12" s="1"/>
      <c r="O12" s="107">
        <v>0.00314482296</v>
      </c>
      <c r="P12" s="107">
        <v>0.00340572779</v>
      </c>
      <c r="Q12" s="1"/>
      <c r="R12" s="99" t="s">
        <v>89</v>
      </c>
      <c r="S12" s="107">
        <v>0.05294924309</v>
      </c>
      <c r="T12" s="107">
        <v>0.0686371505</v>
      </c>
      <c r="U12" s="107">
        <v>0.1215863936</v>
      </c>
      <c r="V12" s="1"/>
      <c r="W12" s="135" t="s">
        <v>50</v>
      </c>
      <c r="X12" s="1"/>
      <c r="Y12" s="107">
        <v>8.776024411E-5</v>
      </c>
      <c r="Z12" s="107">
        <v>1.209035664E-7</v>
      </c>
      <c r="AA12" s="1"/>
      <c r="AB12" s="99" t="s">
        <v>89</v>
      </c>
      <c r="AC12" s="107">
        <v>0.00150676576</v>
      </c>
      <c r="AD12" s="107">
        <v>1.217819429E-6</v>
      </c>
      <c r="AE12" s="107">
        <v>0.00150798358</v>
      </c>
      <c r="AF12" s="1"/>
      <c r="AG12" s="135" t="s">
        <v>50</v>
      </c>
      <c r="AH12" s="1"/>
      <c r="AI12" s="107">
        <v>0.0296</v>
      </c>
      <c r="AJ12" s="107">
        <v>0.0306</v>
      </c>
      <c r="AK12" s="1"/>
      <c r="AL12" s="99" t="s">
        <v>89</v>
      </c>
      <c r="AM12" s="107">
        <v>0.3253</v>
      </c>
      <c r="AN12" s="107">
        <v>0.3553</v>
      </c>
      <c r="AO12" s="107">
        <v>0.6806</v>
      </c>
      <c r="AP12" s="1"/>
      <c r="AQ12" s="1"/>
      <c r="AR12" s="135" t="s">
        <v>50</v>
      </c>
      <c r="AS12" s="1"/>
      <c r="AT12" s="107">
        <v>1.0115E-4</v>
      </c>
      <c r="AU12" s="107">
        <v>5.513E-5</v>
      </c>
      <c r="AV12" s="1"/>
      <c r="AW12" s="99" t="s">
        <v>89</v>
      </c>
      <c r="AX12" s="107">
        <v>0.00125763</v>
      </c>
      <c r="AY12" s="107">
        <v>7.096E-4</v>
      </c>
      <c r="AZ12" s="107">
        <v>0.00196723</v>
      </c>
      <c r="BA12" s="1"/>
      <c r="BB12" s="1"/>
      <c r="BC12" s="1"/>
      <c r="BD12" s="1"/>
      <c r="BE12" s="1"/>
    </row>
    <row r="13">
      <c r="A13" s="135" t="s">
        <v>51</v>
      </c>
      <c r="B13" s="1"/>
      <c r="C13" s="107">
        <v>0.01847473021</v>
      </c>
      <c r="D13" s="107">
        <v>0.01173888883</v>
      </c>
      <c r="E13" s="1"/>
      <c r="F13" s="1"/>
      <c r="G13" s="1"/>
      <c r="H13" s="99" t="s">
        <v>90</v>
      </c>
      <c r="I13" s="107">
        <v>0.1775701112</v>
      </c>
      <c r="J13" s="107">
        <v>0.3528014718</v>
      </c>
      <c r="K13" s="107">
        <v>0.2651857915</v>
      </c>
      <c r="L13" s="1"/>
      <c r="M13" s="135" t="s">
        <v>51</v>
      </c>
      <c r="N13" s="1"/>
      <c r="O13" s="107">
        <v>0.002183598438</v>
      </c>
      <c r="P13" s="107">
        <v>7.998514422E-4</v>
      </c>
      <c r="Q13" s="1"/>
      <c r="R13" s="99" t="s">
        <v>90</v>
      </c>
      <c r="S13" s="107">
        <v>0.007564177585</v>
      </c>
      <c r="T13" s="107">
        <v>0.009805307215</v>
      </c>
      <c r="U13" s="107">
        <v>0.0086847424</v>
      </c>
      <c r="V13" s="1"/>
      <c r="W13" s="135" t="s">
        <v>51</v>
      </c>
      <c r="X13" s="1"/>
      <c r="Y13" s="107">
        <v>6.053260598E-5</v>
      </c>
      <c r="Z13" s="107">
        <v>8.452758828E-7</v>
      </c>
      <c r="AA13" s="1"/>
      <c r="AB13" s="99" t="s">
        <v>90</v>
      </c>
      <c r="AC13" s="107">
        <v>2.152522515E-4</v>
      </c>
      <c r="AD13" s="107">
        <v>1.739742042E-7</v>
      </c>
      <c r="AE13" s="107">
        <v>1.077131128E-4</v>
      </c>
      <c r="AF13" s="1"/>
      <c r="AG13" s="135" t="s">
        <v>51</v>
      </c>
      <c r="AH13" s="1"/>
      <c r="AI13" s="107">
        <v>0.0809</v>
      </c>
      <c r="AJ13" s="107">
        <v>0.086</v>
      </c>
      <c r="AK13" s="1"/>
      <c r="AL13" s="99" t="s">
        <v>90</v>
      </c>
      <c r="AM13" s="107">
        <v>0.04647142857</v>
      </c>
      <c r="AN13" s="107">
        <v>0.05075714286</v>
      </c>
      <c r="AO13" s="107">
        <v>0.04861428571</v>
      </c>
      <c r="AP13" s="1"/>
      <c r="AQ13" s="1"/>
      <c r="AR13" s="135" t="s">
        <v>51</v>
      </c>
      <c r="AS13" s="1"/>
      <c r="AT13" s="107">
        <v>1.25E-5</v>
      </c>
      <c r="AU13" s="107">
        <v>7.74E-6</v>
      </c>
      <c r="AV13" s="1"/>
      <c r="AW13" s="99" t="s">
        <v>90</v>
      </c>
      <c r="AX13" s="107">
        <v>1.796614286E-4</v>
      </c>
      <c r="AY13" s="107">
        <v>1.013714286E-4</v>
      </c>
      <c r="AZ13" s="107">
        <v>1.405164286E-4</v>
      </c>
      <c r="BA13" s="1"/>
      <c r="BB13" s="1"/>
      <c r="BC13" s="1"/>
      <c r="BD13" s="1"/>
      <c r="BE13" s="1"/>
    </row>
    <row r="14">
      <c r="A14" s="135" t="s">
        <v>52</v>
      </c>
      <c r="B14" s="1"/>
      <c r="C14" s="107">
        <v>0.1445365813</v>
      </c>
      <c r="D14" s="107">
        <v>0.2636999921</v>
      </c>
      <c r="E14" s="1"/>
      <c r="F14" s="1"/>
      <c r="G14" s="1"/>
      <c r="H14" s="99" t="s">
        <v>91</v>
      </c>
      <c r="I14" s="107">
        <v>0.05099404269</v>
      </c>
      <c r="J14" s="107">
        <v>0.2376620228</v>
      </c>
      <c r="K14" s="107">
        <v>0.1414928844</v>
      </c>
      <c r="L14" s="1"/>
      <c r="M14" s="135" t="s">
        <v>52</v>
      </c>
      <c r="N14" s="1"/>
      <c r="O14" s="107">
        <v>0.008659369822</v>
      </c>
      <c r="P14" s="107">
        <v>0.01199071632</v>
      </c>
      <c r="Q14" s="1"/>
      <c r="R14" s="99" t="s">
        <v>91</v>
      </c>
      <c r="S14" s="107">
        <v>4.016865331E-5</v>
      </c>
      <c r="T14" s="107">
        <v>9.254985062E-5</v>
      </c>
      <c r="U14" s="107">
        <v>6.260694928E-5</v>
      </c>
      <c r="V14" s="1"/>
      <c r="W14" s="135" t="s">
        <v>52</v>
      </c>
      <c r="X14" s="1"/>
      <c r="Y14" s="107">
        <v>1.059742153E-4</v>
      </c>
      <c r="Z14" s="107">
        <v>1.195036713E-8</v>
      </c>
      <c r="AA14" s="1"/>
      <c r="AB14" s="99" t="s">
        <v>91</v>
      </c>
      <c r="AC14" s="107">
        <v>6.604579115E-8</v>
      </c>
      <c r="AD14" s="107">
        <v>0.0</v>
      </c>
      <c r="AE14" s="107">
        <v>4.293697126E-8</v>
      </c>
      <c r="AF14" s="1"/>
      <c r="AG14" s="135" t="s">
        <v>52</v>
      </c>
      <c r="AH14" s="1"/>
      <c r="AI14" s="107">
        <v>0.0742</v>
      </c>
      <c r="AJ14" s="107">
        <v>0.0836</v>
      </c>
      <c r="AK14" s="1"/>
      <c r="AL14" s="99" t="s">
        <v>91</v>
      </c>
      <c r="AM14" s="107">
        <v>4.96292381E-4</v>
      </c>
      <c r="AN14" s="107">
        <v>5.867861905E-4</v>
      </c>
      <c r="AO14" s="107">
        <v>5.048274725E-4</v>
      </c>
      <c r="AP14" s="1"/>
      <c r="AQ14" s="1"/>
      <c r="AR14" s="135" t="s">
        <v>52</v>
      </c>
      <c r="AS14" s="1"/>
      <c r="AT14" s="107">
        <v>3.946E-5</v>
      </c>
      <c r="AU14" s="107">
        <v>2.19E-5</v>
      </c>
      <c r="AV14" s="1"/>
      <c r="AW14" s="99" t="s">
        <v>91</v>
      </c>
      <c r="AX14" s="107">
        <v>3.680629338E-8</v>
      </c>
      <c r="AY14" s="107">
        <v>9.736286448E-9</v>
      </c>
      <c r="AZ14" s="107">
        <v>2.313139333E-8</v>
      </c>
      <c r="BA14" s="1"/>
      <c r="BB14" s="1"/>
      <c r="BC14" s="1"/>
      <c r="BD14" s="1"/>
      <c r="BE14" s="1"/>
    </row>
    <row r="15">
      <c r="A15" s="136" t="s">
        <v>53</v>
      </c>
      <c r="B15" s="1"/>
      <c r="C15" s="107">
        <v>0.06529176386</v>
      </c>
      <c r="D15" s="107">
        <v>0.08793397993</v>
      </c>
      <c r="E15" s="1"/>
      <c r="F15" s="1"/>
      <c r="G15" s="1"/>
      <c r="H15" s="1"/>
      <c r="I15" s="1"/>
      <c r="J15" s="1"/>
      <c r="K15" s="1"/>
      <c r="L15" s="1"/>
      <c r="M15" s="136" t="s">
        <v>53</v>
      </c>
      <c r="N15" s="1"/>
      <c r="O15" s="107">
        <v>0.004469598573</v>
      </c>
      <c r="P15" s="107">
        <v>0.004350541036</v>
      </c>
      <c r="Q15" s="1"/>
      <c r="R15" s="1"/>
      <c r="S15" s="1"/>
      <c r="T15" s="1"/>
      <c r="U15" s="1"/>
      <c r="V15" s="1"/>
      <c r="W15" s="136" t="s">
        <v>53</v>
      </c>
      <c r="X15" s="1"/>
      <c r="Y15" s="107">
        <v>8.421222672E-5</v>
      </c>
      <c r="Z15" s="107">
        <v>1.787846116E-7</v>
      </c>
      <c r="AA15" s="1"/>
      <c r="AB15" s="1"/>
      <c r="AC15" s="1"/>
      <c r="AD15" s="1"/>
      <c r="AE15" s="1"/>
      <c r="AF15" s="1"/>
      <c r="AG15" s="136" t="s">
        <v>53</v>
      </c>
      <c r="AH15" s="1"/>
      <c r="AI15" s="107">
        <v>0.0421</v>
      </c>
      <c r="AJ15" s="107">
        <v>0.0428</v>
      </c>
      <c r="AK15" s="1"/>
      <c r="AL15" s="99" t="s">
        <v>92</v>
      </c>
      <c r="AM15" s="107">
        <v>0.8122562674</v>
      </c>
      <c r="AN15" s="107">
        <v>0.708994709</v>
      </c>
      <c r="AO15" s="107">
        <v>0.756840475</v>
      </c>
      <c r="AP15" s="1"/>
      <c r="AQ15" s="1"/>
      <c r="AR15" s="136" t="s">
        <v>53</v>
      </c>
      <c r="AS15" s="1"/>
      <c r="AT15" s="107">
        <v>2.151E-5</v>
      </c>
      <c r="AU15" s="107">
        <v>1.705E-5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>
      <c r="A16" s="137"/>
      <c r="B16" s="1"/>
      <c r="C16" s="1"/>
      <c r="D16" s="1"/>
      <c r="E16" s="1"/>
      <c r="F16" s="1"/>
      <c r="G16" s="1"/>
      <c r="H16" s="133" t="s">
        <v>87</v>
      </c>
      <c r="I16" s="122"/>
      <c r="J16" s="122"/>
      <c r="K16" s="122"/>
      <c r="L16" s="1"/>
      <c r="M16" s="1"/>
      <c r="N16" s="1"/>
      <c r="O16" s="1"/>
      <c r="P16" s="1"/>
      <c r="Q16" s="1"/>
      <c r="R16" s="133" t="s">
        <v>87</v>
      </c>
      <c r="S16" s="122"/>
      <c r="T16" s="122"/>
      <c r="U16" s="122"/>
      <c r="V16" s="1"/>
      <c r="W16" s="1"/>
      <c r="X16" s="1"/>
      <c r="Y16" s="1"/>
      <c r="Z16" s="1"/>
      <c r="AA16" s="1"/>
      <c r="AB16" s="133" t="s">
        <v>87</v>
      </c>
      <c r="AC16" s="122"/>
      <c r="AD16" s="122"/>
      <c r="AE16" s="122"/>
      <c r="AF16" s="1"/>
      <c r="AG16" s="1"/>
      <c r="AH16" s="1"/>
      <c r="AI16" s="1"/>
      <c r="AJ16" s="1"/>
      <c r="AK16" s="1"/>
      <c r="AL16" s="133" t="s">
        <v>87</v>
      </c>
      <c r="AM16" s="122"/>
      <c r="AN16" s="122"/>
      <c r="AO16" s="122"/>
      <c r="AP16" s="1"/>
      <c r="AQ16" s="1"/>
      <c r="AR16" s="1"/>
      <c r="AS16" s="1"/>
      <c r="AT16" s="1"/>
      <c r="AU16" s="1"/>
      <c r="AV16" s="1"/>
      <c r="AW16" s="133" t="s">
        <v>87</v>
      </c>
      <c r="AX16" s="122"/>
      <c r="AY16" s="122"/>
      <c r="AZ16" s="122"/>
      <c r="BA16" s="1"/>
      <c r="BB16" s="1"/>
      <c r="BC16" s="1"/>
      <c r="BD16" s="1"/>
      <c r="BE16" s="1"/>
    </row>
    <row r="17">
      <c r="A17" s="137"/>
      <c r="B17" s="1"/>
      <c r="C17" s="1"/>
      <c r="D17" s="1"/>
      <c r="E17" s="1"/>
      <c r="F17" s="1"/>
      <c r="G17" s="1"/>
      <c r="H17" s="99" t="s">
        <v>88</v>
      </c>
      <c r="I17" s="107">
        <v>14.0</v>
      </c>
      <c r="J17" s="107">
        <v>14.0</v>
      </c>
      <c r="K17" s="1"/>
      <c r="L17" s="1"/>
      <c r="M17" s="1"/>
      <c r="N17" s="1"/>
      <c r="O17" s="1"/>
      <c r="P17" s="1"/>
      <c r="Q17" s="1"/>
      <c r="R17" s="99" t="s">
        <v>88</v>
      </c>
      <c r="S17" s="107">
        <v>14.0</v>
      </c>
      <c r="T17" s="107">
        <v>14.0</v>
      </c>
      <c r="U17" s="1"/>
      <c r="V17" s="1"/>
      <c r="W17" s="1"/>
      <c r="X17" s="1"/>
      <c r="Y17" s="1"/>
      <c r="Z17" s="1"/>
      <c r="AA17" s="1"/>
      <c r="AB17" s="99" t="s">
        <v>88</v>
      </c>
      <c r="AC17" s="107">
        <v>14.0</v>
      </c>
      <c r="AD17" s="107">
        <v>14.0</v>
      </c>
      <c r="AE17" s="1"/>
      <c r="AF17" s="1"/>
      <c r="AG17" s="1"/>
      <c r="AH17" s="1"/>
      <c r="AI17" s="1"/>
      <c r="AJ17" s="1"/>
      <c r="AK17" s="1"/>
      <c r="AL17" s="99" t="s">
        <v>88</v>
      </c>
      <c r="AM17" s="107">
        <v>14.0</v>
      </c>
      <c r="AN17" s="107">
        <v>14.0</v>
      </c>
      <c r="AO17" s="1"/>
      <c r="AP17" s="1"/>
      <c r="AQ17" s="1"/>
      <c r="AR17" s="1"/>
      <c r="AS17" s="1"/>
      <c r="AT17" s="1"/>
      <c r="AU17" s="1"/>
      <c r="AV17" s="1"/>
      <c r="AW17" s="99" t="s">
        <v>88</v>
      </c>
      <c r="AX17" s="107">
        <v>14.0</v>
      </c>
      <c r="AY17" s="107">
        <v>14.0</v>
      </c>
      <c r="AZ17" s="1"/>
      <c r="BA17" s="1"/>
      <c r="BB17" s="1"/>
      <c r="BC17" s="1"/>
      <c r="BD17" s="1"/>
      <c r="BE17" s="1"/>
    </row>
    <row r="18">
      <c r="A18" s="137"/>
      <c r="B18" s="1"/>
      <c r="C18" s="1"/>
      <c r="D18" s="1"/>
      <c r="E18" s="1"/>
      <c r="F18" s="1"/>
      <c r="G18" s="1"/>
      <c r="H18" s="99" t="s">
        <v>89</v>
      </c>
      <c r="I18" s="107">
        <v>2.504114244</v>
      </c>
      <c r="J18" s="107">
        <v>6.663958766</v>
      </c>
      <c r="K18" s="1"/>
      <c r="L18" s="1"/>
      <c r="M18" s="1"/>
      <c r="N18" s="1"/>
      <c r="O18" s="1"/>
      <c r="P18" s="1"/>
      <c r="Q18" s="1"/>
      <c r="R18" s="99" t="s">
        <v>89</v>
      </c>
      <c r="S18" s="107">
        <v>0.1075665088</v>
      </c>
      <c r="T18" s="107">
        <v>0.1340604853</v>
      </c>
      <c r="U18" s="1"/>
      <c r="V18" s="1"/>
      <c r="W18" s="1"/>
      <c r="X18" s="1"/>
      <c r="Y18" s="1"/>
      <c r="Z18" s="1"/>
      <c r="AA18" s="1"/>
      <c r="AB18" s="99" t="s">
        <v>89</v>
      </c>
      <c r="AC18" s="107">
        <v>0.002148472551</v>
      </c>
      <c r="AD18" s="107">
        <v>5.319027939E-4</v>
      </c>
      <c r="AE18" s="1"/>
      <c r="AF18" s="1"/>
      <c r="AG18" s="1"/>
      <c r="AH18" s="1"/>
      <c r="AI18" s="1"/>
      <c r="AJ18" s="1"/>
      <c r="AK18" s="1"/>
      <c r="AL18" s="99" t="s">
        <v>89</v>
      </c>
      <c r="AM18" s="107">
        <v>0.5048</v>
      </c>
      <c r="AN18" s="107">
        <v>0.5632</v>
      </c>
      <c r="AO18" s="1"/>
      <c r="AP18" s="1"/>
      <c r="AQ18" s="1"/>
      <c r="AR18" s="1"/>
      <c r="AS18" s="1"/>
      <c r="AT18" s="1"/>
      <c r="AU18" s="1"/>
      <c r="AV18" s="1"/>
      <c r="AW18" s="99" t="s">
        <v>89</v>
      </c>
      <c r="AX18" s="107">
        <v>0.00259639</v>
      </c>
      <c r="AY18" s="107">
        <v>0.00176343</v>
      </c>
      <c r="AZ18" s="1"/>
      <c r="BA18" s="1"/>
      <c r="BB18" s="1"/>
      <c r="BC18" s="1"/>
      <c r="BD18" s="1"/>
      <c r="BE18" s="1"/>
    </row>
    <row r="19">
      <c r="A19" s="137"/>
      <c r="B19" s="1"/>
      <c r="C19" s="1"/>
      <c r="D19" s="1"/>
      <c r="E19" s="1"/>
      <c r="F19" s="1"/>
      <c r="G19" s="1"/>
      <c r="H19" s="99" t="s">
        <v>90</v>
      </c>
      <c r="I19" s="107">
        <v>0.1788653032</v>
      </c>
      <c r="J19" s="107">
        <v>0.4759970547</v>
      </c>
      <c r="K19" s="1"/>
      <c r="L19" s="1"/>
      <c r="M19" s="1"/>
      <c r="N19" s="1"/>
      <c r="O19" s="1"/>
      <c r="P19" s="1"/>
      <c r="Q19" s="1"/>
      <c r="R19" s="99" t="s">
        <v>90</v>
      </c>
      <c r="S19" s="107">
        <v>0.007683322057</v>
      </c>
      <c r="T19" s="107">
        <v>0.00957574895</v>
      </c>
      <c r="U19" s="1"/>
      <c r="V19" s="1"/>
      <c r="W19" s="1"/>
      <c r="X19" s="1"/>
      <c r="Y19" s="1"/>
      <c r="Z19" s="1"/>
      <c r="AA19" s="1"/>
      <c r="AB19" s="99" t="s">
        <v>90</v>
      </c>
      <c r="AC19" s="107">
        <v>1.534623251E-4</v>
      </c>
      <c r="AD19" s="107">
        <v>3.79930567E-5</v>
      </c>
      <c r="AE19" s="1"/>
      <c r="AF19" s="1"/>
      <c r="AG19" s="1"/>
      <c r="AH19" s="1"/>
      <c r="AI19" s="1"/>
      <c r="AJ19" s="1"/>
      <c r="AK19" s="1"/>
      <c r="AL19" s="99" t="s">
        <v>90</v>
      </c>
      <c r="AM19" s="107">
        <v>0.03605714286</v>
      </c>
      <c r="AN19" s="107">
        <v>0.04022857143</v>
      </c>
      <c r="AO19" s="1"/>
      <c r="AP19" s="1"/>
      <c r="AQ19" s="1"/>
      <c r="AR19" s="1"/>
      <c r="AS19" s="1"/>
      <c r="AT19" s="1"/>
      <c r="AU19" s="1"/>
      <c r="AV19" s="1"/>
      <c r="AW19" s="99" t="s">
        <v>90</v>
      </c>
      <c r="AX19" s="107">
        <v>1.854564286E-4</v>
      </c>
      <c r="AY19" s="107">
        <v>1.259592857E-4</v>
      </c>
      <c r="AZ19" s="1"/>
      <c r="BA19" s="1"/>
      <c r="BB19" s="1"/>
      <c r="BC19" s="1"/>
      <c r="BD19" s="1"/>
      <c r="BE19" s="1"/>
    </row>
    <row r="20">
      <c r="A20" s="137"/>
      <c r="B20" s="1"/>
      <c r="C20" s="1"/>
      <c r="D20" s="1"/>
      <c r="E20" s="1"/>
      <c r="F20" s="1"/>
      <c r="G20" s="1"/>
      <c r="H20" s="99" t="s">
        <v>91</v>
      </c>
      <c r="I20" s="107">
        <v>0.03159988717</v>
      </c>
      <c r="J20" s="107">
        <v>0.2269020811</v>
      </c>
      <c r="K20" s="1"/>
      <c r="L20" s="1"/>
      <c r="M20" s="1"/>
      <c r="N20" s="1"/>
      <c r="O20" s="1"/>
      <c r="P20" s="1"/>
      <c r="Q20" s="1"/>
      <c r="R20" s="99" t="s">
        <v>91</v>
      </c>
      <c r="S20" s="107">
        <v>4.213227893E-5</v>
      </c>
      <c r="T20" s="107">
        <v>6.255181303E-5</v>
      </c>
      <c r="U20" s="1"/>
      <c r="V20" s="1"/>
      <c r="W20" s="1"/>
      <c r="X20" s="1"/>
      <c r="Y20" s="1"/>
      <c r="Z20" s="1"/>
      <c r="AA20" s="1"/>
      <c r="AB20" s="99" t="s">
        <v>91</v>
      </c>
      <c r="AC20" s="107">
        <v>3.772937343E-8</v>
      </c>
      <c r="AD20" s="107">
        <v>2.008706582E-8</v>
      </c>
      <c r="AE20" s="1"/>
      <c r="AF20" s="1"/>
      <c r="AG20" s="1"/>
      <c r="AH20" s="1"/>
      <c r="AI20" s="1"/>
      <c r="AJ20" s="1"/>
      <c r="AK20" s="1"/>
      <c r="AL20" s="99" t="s">
        <v>91</v>
      </c>
      <c r="AM20" s="107">
        <v>4.033395604E-4</v>
      </c>
      <c r="AN20" s="107">
        <v>4.838637363E-4</v>
      </c>
      <c r="AO20" s="1"/>
      <c r="AP20" s="1"/>
      <c r="AQ20" s="1"/>
      <c r="AR20" s="1"/>
      <c r="AS20" s="1"/>
      <c r="AT20" s="1"/>
      <c r="AU20" s="1"/>
      <c r="AV20" s="1"/>
      <c r="AW20" s="99" t="s">
        <v>91</v>
      </c>
      <c r="AX20" s="107">
        <v>3.258989013E-8</v>
      </c>
      <c r="AY20" s="107">
        <v>1.23423259E-8</v>
      </c>
      <c r="AZ20" s="1"/>
      <c r="BA20" s="1"/>
      <c r="BB20" s="1"/>
      <c r="BC20" s="1"/>
      <c r="BD20" s="1"/>
      <c r="BE20" s="1"/>
    </row>
    <row r="21">
      <c r="A21" s="13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>
      <c r="A22" s="13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>
      <c r="A23" s="66"/>
      <c r="B23" s="1"/>
      <c r="C23" s="1"/>
      <c r="D23" s="1"/>
      <c r="E23" s="1"/>
      <c r="F23" s="1"/>
      <c r="G23" s="1"/>
      <c r="H23" s="99" t="s">
        <v>93</v>
      </c>
      <c r="I23" s="1"/>
      <c r="J23" s="1"/>
      <c r="K23" s="1"/>
      <c r="L23" s="1"/>
      <c r="M23" s="1"/>
      <c r="N23" s="1"/>
      <c r="O23" s="1"/>
      <c r="P23" s="1"/>
      <c r="Q23" s="1"/>
      <c r="R23" s="99" t="s">
        <v>93</v>
      </c>
      <c r="S23" s="1"/>
      <c r="T23" s="1"/>
      <c r="U23" s="1"/>
      <c r="V23" s="1"/>
      <c r="W23" s="1"/>
      <c r="X23" s="1"/>
      <c r="Y23" s="1"/>
      <c r="Z23" s="1"/>
      <c r="AA23" s="1"/>
      <c r="AB23" s="99" t="s">
        <v>93</v>
      </c>
      <c r="AC23" s="1"/>
      <c r="AD23" s="1"/>
      <c r="AE23" s="1"/>
      <c r="AF23" s="1"/>
      <c r="AG23" s="1"/>
      <c r="AH23" s="1"/>
      <c r="AI23" s="1"/>
      <c r="AJ23" s="1"/>
      <c r="AK23" s="1"/>
      <c r="AL23" s="99" t="s">
        <v>93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99" t="s">
        <v>93</v>
      </c>
      <c r="AX23" s="1"/>
      <c r="AY23" s="1"/>
      <c r="AZ23" s="1"/>
      <c r="BA23" s="1"/>
      <c r="BB23" s="1"/>
      <c r="BC23" s="1"/>
      <c r="BD23" s="1"/>
      <c r="BE23" s="1"/>
    </row>
    <row r="24">
      <c r="A24" s="66"/>
      <c r="B24" s="1"/>
      <c r="C24" s="1"/>
      <c r="D24" s="1"/>
      <c r="E24" s="1"/>
      <c r="F24" s="1"/>
      <c r="G24" s="1"/>
      <c r="H24" s="139" t="s">
        <v>94</v>
      </c>
      <c r="I24" s="139" t="s">
        <v>95</v>
      </c>
      <c r="J24" s="139" t="s">
        <v>96</v>
      </c>
      <c r="K24" s="139" t="s">
        <v>97</v>
      </c>
      <c r="L24" s="139" t="s">
        <v>98</v>
      </c>
      <c r="M24" s="139" t="s">
        <v>99</v>
      </c>
      <c r="N24" s="139" t="s">
        <v>100</v>
      </c>
      <c r="O24" s="1"/>
      <c r="P24" s="1"/>
      <c r="Q24" s="1"/>
      <c r="R24" s="139" t="s">
        <v>94</v>
      </c>
      <c r="S24" s="139" t="s">
        <v>95</v>
      </c>
      <c r="T24" s="139" t="s">
        <v>96</v>
      </c>
      <c r="U24" s="139" t="s">
        <v>97</v>
      </c>
      <c r="V24" s="139" t="s">
        <v>98</v>
      </c>
      <c r="W24" s="139" t="s">
        <v>99</v>
      </c>
      <c r="X24" s="139" t="s">
        <v>100</v>
      </c>
      <c r="Y24" s="1"/>
      <c r="Z24" s="1"/>
      <c r="AA24" s="1"/>
      <c r="AB24" s="139" t="s">
        <v>94</v>
      </c>
      <c r="AC24" s="139" t="s">
        <v>95</v>
      </c>
      <c r="AD24" s="139" t="s">
        <v>96</v>
      </c>
      <c r="AE24" s="139" t="s">
        <v>97</v>
      </c>
      <c r="AF24" s="139" t="s">
        <v>98</v>
      </c>
      <c r="AG24" s="139" t="s">
        <v>99</v>
      </c>
      <c r="AH24" s="139" t="s">
        <v>100</v>
      </c>
      <c r="AI24" s="1"/>
      <c r="AJ24" s="1"/>
      <c r="AK24" s="1"/>
      <c r="AL24" s="139" t="s">
        <v>94</v>
      </c>
      <c r="AM24" s="139" t="s">
        <v>95</v>
      </c>
      <c r="AN24" s="139" t="s">
        <v>96</v>
      </c>
      <c r="AO24" s="139" t="s">
        <v>97</v>
      </c>
      <c r="AP24" s="139" t="s">
        <v>98</v>
      </c>
      <c r="AQ24" s="139" t="s">
        <v>99</v>
      </c>
      <c r="AR24" s="139" t="s">
        <v>100</v>
      </c>
      <c r="AS24" s="1"/>
      <c r="AT24" s="1"/>
      <c r="AU24" s="1"/>
      <c r="AV24" s="1"/>
      <c r="AW24" s="139" t="s">
        <v>94</v>
      </c>
      <c r="AX24" s="139" t="s">
        <v>95</v>
      </c>
      <c r="AY24" s="139" t="s">
        <v>96</v>
      </c>
      <c r="AZ24" s="139" t="s">
        <v>97</v>
      </c>
      <c r="BA24" s="139" t="s">
        <v>98</v>
      </c>
      <c r="BB24" s="139" t="s">
        <v>99</v>
      </c>
      <c r="BC24" s="139" t="s">
        <v>100</v>
      </c>
      <c r="BD24" s="1"/>
      <c r="BE24" s="1"/>
    </row>
    <row r="25">
      <c r="A25" s="66"/>
      <c r="B25" s="1"/>
      <c r="C25" s="1"/>
      <c r="D25" s="1"/>
      <c r="E25" s="1"/>
      <c r="F25" s="1"/>
      <c r="G25" s="1"/>
      <c r="H25" s="99" t="s">
        <v>101</v>
      </c>
      <c r="I25" s="107">
        <v>0.1084856713</v>
      </c>
      <c r="J25" s="107">
        <v>1.0</v>
      </c>
      <c r="K25" s="107">
        <v>0.1084856713</v>
      </c>
      <c r="L25" s="107">
        <v>0.8270768527</v>
      </c>
      <c r="M25" s="107">
        <v>0.372162239</v>
      </c>
      <c r="N25" s="107">
        <v>4.259677214</v>
      </c>
      <c r="O25" s="1"/>
      <c r="P25" s="1"/>
      <c r="Q25" s="1"/>
      <c r="R25" s="99" t="s">
        <v>101</v>
      </c>
      <c r="S25" s="107">
        <v>8.533843962E-8</v>
      </c>
      <c r="T25" s="107">
        <v>1.0</v>
      </c>
      <c r="U25" s="107">
        <v>8.533843962E-8</v>
      </c>
      <c r="V25" s="107">
        <v>0.001506020411</v>
      </c>
      <c r="W25" s="107">
        <v>0.969364896</v>
      </c>
      <c r="X25" s="107">
        <v>4.259677214</v>
      </c>
      <c r="Y25" s="1"/>
      <c r="Z25" s="1"/>
      <c r="AA25" s="1"/>
      <c r="AB25" s="99" t="s">
        <v>101</v>
      </c>
      <c r="AC25" s="107">
        <v>4.022209509E-9</v>
      </c>
      <c r="AD25" s="107">
        <v>1.0</v>
      </c>
      <c r="AE25" s="107">
        <v>4.022209509E-9</v>
      </c>
      <c r="AF25" s="107">
        <v>0.1423501619</v>
      </c>
      <c r="AG25" s="107">
        <v>0.969364896</v>
      </c>
      <c r="AH25" s="107">
        <v>4.259677214</v>
      </c>
      <c r="AI25" s="1"/>
      <c r="AJ25" s="1"/>
      <c r="AK25" s="1"/>
      <c r="AL25" s="99" t="s">
        <v>101</v>
      </c>
      <c r="AM25" s="107">
        <v>0.003070222857</v>
      </c>
      <c r="AN25" s="107">
        <v>1.0</v>
      </c>
      <c r="AO25" s="107">
        <v>0.003070222857</v>
      </c>
      <c r="AP25" s="107">
        <v>8.70642655</v>
      </c>
      <c r="AQ25" s="107">
        <v>0.006975393009</v>
      </c>
      <c r="AR25" s="107">
        <v>4.259677214</v>
      </c>
      <c r="AS25" s="1"/>
      <c r="AT25" s="1"/>
      <c r="AU25" s="1"/>
      <c r="AV25" s="1"/>
      <c r="AW25" s="99" t="s">
        <v>101</v>
      </c>
      <c r="AX25" s="107">
        <v>6.461826057E-9</v>
      </c>
      <c r="AY25" s="107">
        <v>1.0</v>
      </c>
      <c r="AZ25" s="107">
        <v>6.461826057E-9</v>
      </c>
      <c r="BA25" s="107">
        <v>0.2696243542</v>
      </c>
      <c r="BB25" s="107">
        <v>0.6083396708</v>
      </c>
      <c r="BC25" s="107">
        <v>4.259677214</v>
      </c>
      <c r="BD25" s="1"/>
      <c r="BE25" s="1"/>
    </row>
    <row r="26">
      <c r="A26" s="66"/>
      <c r="B26" s="1"/>
      <c r="C26" s="1"/>
      <c r="D26" s="1"/>
      <c r="E26" s="1"/>
      <c r="F26" s="1"/>
      <c r="G26" s="1"/>
      <c r="H26" s="99" t="s">
        <v>102</v>
      </c>
      <c r="I26" s="107">
        <v>0.6180109445</v>
      </c>
      <c r="J26" s="107">
        <v>1.0</v>
      </c>
      <c r="K26" s="107">
        <v>0.6180109445</v>
      </c>
      <c r="L26" s="107">
        <v>4.71161344</v>
      </c>
      <c r="M26" s="107">
        <v>0.04007718208</v>
      </c>
      <c r="N26" s="107">
        <v>4.259677214</v>
      </c>
      <c r="O26" s="1"/>
      <c r="P26" s="1"/>
      <c r="Q26" s="1"/>
      <c r="R26" s="99" t="s">
        <v>102</v>
      </c>
      <c r="S26" s="107">
        <v>2.506895682E-5</v>
      </c>
      <c r="T26" s="107">
        <v>1.0</v>
      </c>
      <c r="U26" s="107">
        <v>2.506895682E-5</v>
      </c>
      <c r="V26" s="107">
        <v>0.4424074405</v>
      </c>
      <c r="W26" s="107">
        <v>0.5123044658</v>
      </c>
      <c r="X26" s="107">
        <v>4.259677214</v>
      </c>
      <c r="Y26" s="1"/>
      <c r="Z26" s="1"/>
      <c r="AA26" s="1"/>
      <c r="AB26" s="99" t="s">
        <v>102</v>
      </c>
      <c r="AC26" s="107">
        <v>9.333206354E-8</v>
      </c>
      <c r="AD26" s="107">
        <v>1.0</v>
      </c>
      <c r="AE26" s="107">
        <v>9.333206354E-8</v>
      </c>
      <c r="AF26" s="107">
        <v>3.30311843</v>
      </c>
      <c r="AG26" s="107">
        <v>0.5123044658</v>
      </c>
      <c r="AH26" s="107">
        <v>4.259677214</v>
      </c>
      <c r="AI26" s="1"/>
      <c r="AJ26" s="1"/>
      <c r="AK26" s="1"/>
      <c r="AL26" s="99" t="s">
        <v>102</v>
      </c>
      <c r="AM26" s="107">
        <v>1.218057143E-4</v>
      </c>
      <c r="AN26" s="107">
        <v>1.0</v>
      </c>
      <c r="AO26" s="107">
        <v>1.218057143E-4</v>
      </c>
      <c r="AP26" s="107">
        <v>0.3454122238</v>
      </c>
      <c r="AQ26" s="107">
        <v>0.5622113478</v>
      </c>
      <c r="AR26" s="107">
        <v>4.259677214</v>
      </c>
      <c r="AS26" s="1"/>
      <c r="AT26" s="1"/>
      <c r="AU26" s="1"/>
      <c r="AV26" s="1"/>
      <c r="AW26" s="99" t="s">
        <v>102</v>
      </c>
      <c r="AX26" s="107">
        <v>2.477937006E-8</v>
      </c>
      <c r="AY26" s="107">
        <v>1.0</v>
      </c>
      <c r="AZ26" s="107">
        <v>2.477937006E-8</v>
      </c>
      <c r="BA26" s="107">
        <v>1.033937093</v>
      </c>
      <c r="BB26" s="107">
        <v>0.3193774311</v>
      </c>
      <c r="BC26" s="107">
        <v>4.259677214</v>
      </c>
      <c r="BD26" s="1"/>
      <c r="BE26" s="1"/>
    </row>
    <row r="27">
      <c r="A27" s="66"/>
      <c r="B27" s="1"/>
      <c r="C27" s="1"/>
      <c r="D27" s="1"/>
      <c r="E27" s="1"/>
      <c r="F27" s="1"/>
      <c r="G27" s="1"/>
      <c r="H27" s="99" t="s">
        <v>103</v>
      </c>
      <c r="I27" s="107">
        <v>0.1040179371</v>
      </c>
      <c r="J27" s="107">
        <v>1.0</v>
      </c>
      <c r="K27" s="107">
        <v>0.1040179371</v>
      </c>
      <c r="L27" s="107">
        <v>0.7930155848</v>
      </c>
      <c r="M27" s="107">
        <v>0.3820303051</v>
      </c>
      <c r="N27" s="107">
        <v>4.259677214</v>
      </c>
      <c r="O27" s="1"/>
      <c r="P27" s="1"/>
      <c r="Q27" s="1"/>
      <c r="R27" s="99" t="s">
        <v>103</v>
      </c>
      <c r="S27" s="107">
        <v>8.511551922E-7</v>
      </c>
      <c r="T27" s="107">
        <v>1.0</v>
      </c>
      <c r="U27" s="107">
        <v>8.511551922E-7</v>
      </c>
      <c r="V27" s="107">
        <v>0.01502086396</v>
      </c>
      <c r="W27" s="107">
        <v>0.903476343</v>
      </c>
      <c r="X27" s="107">
        <v>4.259677214</v>
      </c>
      <c r="Y27" s="1"/>
      <c r="Z27" s="1"/>
      <c r="AA27" s="1"/>
      <c r="AB27" s="99" t="s">
        <v>103</v>
      </c>
      <c r="AC27" s="107">
        <v>6.945368261E-8</v>
      </c>
      <c r="AD27" s="107">
        <v>1.0</v>
      </c>
      <c r="AE27" s="107">
        <v>6.945368261E-8</v>
      </c>
      <c r="AF27" s="107">
        <v>2.458037789</v>
      </c>
      <c r="AG27" s="107">
        <v>0.903476343</v>
      </c>
      <c r="AH27" s="107">
        <v>4.259677214</v>
      </c>
      <c r="AI27" s="1"/>
      <c r="AJ27" s="1"/>
      <c r="AK27" s="1"/>
      <c r="AL27" s="99" t="s">
        <v>103</v>
      </c>
      <c r="AM27" s="107">
        <v>9.142857143E-8</v>
      </c>
      <c r="AN27" s="107">
        <v>1.0</v>
      </c>
      <c r="AO27" s="107">
        <v>9.142857143E-8</v>
      </c>
      <c r="AP27" s="107">
        <v>2.592698246E-4</v>
      </c>
      <c r="AQ27" s="107">
        <v>0.987286243</v>
      </c>
      <c r="AR27" s="107">
        <v>4.259677214</v>
      </c>
      <c r="AS27" s="1"/>
      <c r="AT27" s="1"/>
      <c r="AU27" s="1"/>
      <c r="AV27" s="1"/>
      <c r="AW27" s="99" t="s">
        <v>103</v>
      </c>
      <c r="AX27" s="107">
        <v>2.472200357E-9</v>
      </c>
      <c r="AY27" s="107">
        <v>1.0</v>
      </c>
      <c r="AZ27" s="107">
        <v>2.472200357E-9</v>
      </c>
      <c r="BA27" s="107">
        <v>0.1031543435</v>
      </c>
      <c r="BB27" s="107">
        <v>0.7508568856</v>
      </c>
      <c r="BC27" s="107">
        <v>4.259677214</v>
      </c>
      <c r="BD27" s="1"/>
      <c r="BE27" s="1"/>
    </row>
    <row r="28">
      <c r="A28" s="66"/>
      <c r="B28" s="1"/>
      <c r="C28" s="1"/>
      <c r="D28" s="1"/>
      <c r="E28" s="1"/>
      <c r="F28" s="1"/>
      <c r="G28" s="1"/>
      <c r="H28" s="99" t="s">
        <v>104</v>
      </c>
      <c r="I28" s="107">
        <v>3.148021979</v>
      </c>
      <c r="J28" s="107">
        <v>24.0</v>
      </c>
      <c r="K28" s="107">
        <v>0.1311675825</v>
      </c>
      <c r="L28" s="1"/>
      <c r="M28" s="1"/>
      <c r="N28" s="1"/>
      <c r="O28" s="1"/>
      <c r="P28" s="1"/>
      <c r="Q28" s="1"/>
      <c r="R28" s="99" t="s">
        <v>104</v>
      </c>
      <c r="S28" s="107">
        <v>0.001359956702</v>
      </c>
      <c r="T28" s="107">
        <v>24.0</v>
      </c>
      <c r="U28" s="107">
        <v>5.666486258E-5</v>
      </c>
      <c r="V28" s="1"/>
      <c r="W28" s="1"/>
      <c r="X28" s="1"/>
      <c r="Y28" s="1"/>
      <c r="Z28" s="1"/>
      <c r="AA28" s="1"/>
      <c r="AB28" s="99" t="s">
        <v>104</v>
      </c>
      <c r="AC28" s="107">
        <v>6.781378181E-7</v>
      </c>
      <c r="AD28" s="107">
        <v>24.0</v>
      </c>
      <c r="AE28" s="107">
        <v>2.825574242E-8</v>
      </c>
      <c r="AF28" s="1"/>
      <c r="AG28" s="1"/>
      <c r="AH28" s="1"/>
      <c r="AI28" s="1"/>
      <c r="AJ28" s="1"/>
      <c r="AK28" s="1"/>
      <c r="AL28" s="99" t="s">
        <v>104</v>
      </c>
      <c r="AM28" s="107">
        <v>0.008463328571</v>
      </c>
      <c r="AN28" s="107">
        <v>24.0</v>
      </c>
      <c r="AO28" s="107">
        <v>3.526386905E-4</v>
      </c>
      <c r="AP28" s="1"/>
      <c r="AQ28" s="1"/>
      <c r="AR28" s="1"/>
      <c r="AS28" s="1"/>
      <c r="AT28" s="1"/>
      <c r="AU28" s="1"/>
      <c r="AV28" s="1"/>
      <c r="AW28" s="99" t="s">
        <v>104</v>
      </c>
      <c r="AX28" s="107">
        <v>5.75184782E-7</v>
      </c>
      <c r="AY28" s="107">
        <v>24.0</v>
      </c>
      <c r="AZ28" s="107">
        <v>2.396603258E-8</v>
      </c>
      <c r="BA28" s="1"/>
      <c r="BB28" s="1"/>
      <c r="BC28" s="1"/>
      <c r="BD28" s="1"/>
      <c r="BE28" s="1"/>
    </row>
    <row r="29">
      <c r="A29" s="14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>
      <c r="A30" s="1"/>
      <c r="B30" s="1"/>
      <c r="C30" s="1"/>
      <c r="D30" s="1"/>
      <c r="E30" s="1"/>
      <c r="F30" s="1"/>
      <c r="G30" s="1"/>
      <c r="H30" s="141" t="s">
        <v>87</v>
      </c>
      <c r="I30" s="118">
        <v>3.978536532</v>
      </c>
      <c r="J30" s="118">
        <v>27.0</v>
      </c>
      <c r="K30" s="122"/>
      <c r="L30" s="122"/>
      <c r="M30" s="122"/>
      <c r="N30" s="122"/>
      <c r="O30" s="1"/>
      <c r="P30" s="1"/>
      <c r="Q30" s="1"/>
      <c r="R30" s="141" t="s">
        <v>87</v>
      </c>
      <c r="S30" s="118">
        <v>0.001385962152</v>
      </c>
      <c r="T30" s="118">
        <v>27.0</v>
      </c>
      <c r="U30" s="122"/>
      <c r="V30" s="122"/>
      <c r="W30" s="122"/>
      <c r="X30" s="122"/>
      <c r="Y30" s="1"/>
      <c r="Z30" s="1"/>
      <c r="AA30" s="1"/>
      <c r="AB30" s="141" t="s">
        <v>87</v>
      </c>
      <c r="AC30" s="118">
        <v>8.449457738E-7</v>
      </c>
      <c r="AD30" s="118">
        <v>27.0</v>
      </c>
      <c r="AE30" s="122"/>
      <c r="AF30" s="122"/>
      <c r="AG30" s="122"/>
      <c r="AH30" s="122"/>
      <c r="AI30" s="1"/>
      <c r="AJ30" s="1"/>
      <c r="AK30" s="1"/>
      <c r="AL30" s="141" t="s">
        <v>87</v>
      </c>
      <c r="AM30" s="118">
        <v>0.01165544857</v>
      </c>
      <c r="AN30" s="118">
        <v>27.0</v>
      </c>
      <c r="AO30" s="122"/>
      <c r="AP30" s="122"/>
      <c r="AQ30" s="122"/>
      <c r="AR30" s="122"/>
      <c r="AS30" s="1"/>
      <c r="AT30" s="1"/>
      <c r="AU30" s="1"/>
      <c r="AV30" s="1"/>
      <c r="AW30" s="141" t="s">
        <v>87</v>
      </c>
      <c r="AX30" s="118">
        <v>6.088981785E-7</v>
      </c>
      <c r="AY30" s="118">
        <v>27.0</v>
      </c>
      <c r="AZ30" s="122"/>
      <c r="BA30" s="122"/>
      <c r="BB30" s="122"/>
      <c r="BC30" s="122"/>
      <c r="BD30" s="1"/>
      <c r="BE30" s="1"/>
    </row>
    <row r="31">
      <c r="A31" s="1"/>
      <c r="B31" s="142"/>
      <c r="C31" s="14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</sheetData>
  <drawing r:id="rId1"/>
</worksheet>
</file>